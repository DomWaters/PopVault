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A0\EXCELCNV\76f6b61d-00b0-49a7-91a4-d35fab803a52\"/>
    </mc:Choice>
  </mc:AlternateContent>
  <xr:revisionPtr revIDLastSave="8" documentId="8_{704E3D87-DDA9-43BD-828B-36CF10089672}" xr6:coauthVersionLast="47" xr6:coauthVersionMax="47" xr10:uidLastSave="{232D5EE5-39E7-4159-9019-202CC3E8F8F2}"/>
  <bookViews>
    <workbookView xWindow="-60" yWindow="-60" windowWidth="15480" windowHeight="11640" xr2:uid="{0E3C458A-2EB2-4DF4-B840-A58C4FCC11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2" i="1"/>
</calcChain>
</file>

<file path=xl/sharedStrings.xml><?xml version="1.0" encoding="utf-8"?>
<sst xmlns="http://schemas.openxmlformats.org/spreadsheetml/2006/main" count="1551" uniqueCount="368">
  <si>
    <t>Portfolio Name</t>
  </si>
  <si>
    <t>Category</t>
  </si>
  <si>
    <t>Set</t>
  </si>
  <si>
    <t>Product Name</t>
  </si>
  <si>
    <t>Card Number</t>
  </si>
  <si>
    <t>Rarity</t>
  </si>
  <si>
    <t>Variance</t>
  </si>
  <si>
    <t>Grade</t>
  </si>
  <si>
    <t>Card Condition</t>
  </si>
  <si>
    <t>Average Cost Paid</t>
  </si>
  <si>
    <t>Quantity</t>
  </si>
  <si>
    <t>Market Price (As of 2026-06-24)</t>
  </si>
  <si>
    <t>Price Override</t>
  </si>
  <si>
    <t>Watchlist</t>
  </si>
  <si>
    <t>Date Added</t>
  </si>
  <si>
    <t>Notes</t>
  </si>
  <si>
    <t>JupiterCollects</t>
  </si>
  <si>
    <t>Magic: The Gathering</t>
  </si>
  <si>
    <t>Avatar: The Last Airbender</t>
  </si>
  <si>
    <t>Avatar: The Last Airbender - Collector Booster Display</t>
  </si>
  <si>
    <t>Normal</t>
  </si>
  <si>
    <t>Ungraded</t>
  </si>
  <si>
    <t>Near Mint</t>
  </si>
  <si>
    <t>Secret Lair Drop Series</t>
  </si>
  <si>
    <t>Chaos Emerald - Lotus Petal (7031)</t>
  </si>
  <si>
    <t>M</t>
  </si>
  <si>
    <t>Foil</t>
  </si>
  <si>
    <t>Pokemon</t>
  </si>
  <si>
    <t>Ascended Heroes</t>
  </si>
  <si>
    <t>Ascended Heroes Booster Bundle</t>
  </si>
  <si>
    <t>Ascended Heroes Elite Trainer Box</t>
  </si>
  <si>
    <t>Ascended Heroes Pokemon Center Elite Trainer Box (Exclusive)</t>
  </si>
  <si>
    <t>Black Bolt</t>
  </si>
  <si>
    <t>Black Bolt Booster Bundle</t>
  </si>
  <si>
    <t>Black Bolt Pokemon Center Elite Trainer Box (Exclusive)</t>
  </si>
  <si>
    <t>Brilliant Stars</t>
  </si>
  <si>
    <t>Brilliant Stars Booster Box</t>
  </si>
  <si>
    <t>Chaos Rising</t>
  </si>
  <si>
    <t>Chaos Rising Booster Box</t>
  </si>
  <si>
    <t>Destined Rivals</t>
  </si>
  <si>
    <t>Destined Rivals Booster Box</t>
  </si>
  <si>
    <t>Destined Rivals Pokemon Center Elite Trainer Box (Exclusive)</t>
  </si>
  <si>
    <t>Evolving Skies</t>
  </si>
  <si>
    <t>Evolving Skies Booster Box</t>
  </si>
  <si>
    <t>Fusion Strike</t>
  </si>
  <si>
    <t>Fusion Strike Booster Box</t>
  </si>
  <si>
    <t>Journey Together</t>
  </si>
  <si>
    <t>Journey Together Booster Box</t>
  </si>
  <si>
    <t>Journey Together Pokemon Center Elite Trainer Box (Exclusive)</t>
  </si>
  <si>
    <t>Lost Origin</t>
  </si>
  <si>
    <t>Lost Origin Booster Box</t>
  </si>
  <si>
    <t>MEGA Dream ex</t>
  </si>
  <si>
    <t>Mega Dragonite ex</t>
  </si>
  <si>
    <t>246/193</t>
  </si>
  <si>
    <t>Special Art Rare</t>
  </si>
  <si>
    <t>Holofoil</t>
  </si>
  <si>
    <t>Mega Evolution</t>
  </si>
  <si>
    <t>Mega Evolution Booster Box</t>
  </si>
  <si>
    <t>Mega Evolution Enhanced Booster Box</t>
  </si>
  <si>
    <t>Mega Evolution Half Booster Box</t>
  </si>
  <si>
    <t>Mega Evolution Pokemon Center Elite Trainer Box (Exclusive) [Mega Gardevoir]</t>
  </si>
  <si>
    <t>Mega Evolution Pokemon Center Elite Trainer Box (Exclusive) [Mega Lucario]</t>
  </si>
  <si>
    <t>Miscellaneous Cards &amp; Products</t>
  </si>
  <si>
    <t>Hiroshima Box (Pokemon Center) (JP)</t>
  </si>
  <si>
    <t>Mega Charizard X ex Ultra Premium Collection</t>
  </si>
  <si>
    <t>Team Rocketâ€™s Moltres ex Ultra-Premium Collection</t>
  </si>
  <si>
    <t>Paldea Evolved</t>
  </si>
  <si>
    <t>Paldea Evolved Half Booster Box</t>
  </si>
  <si>
    <t>Perfect Order</t>
  </si>
  <si>
    <t>Perfect Order Booster Box</t>
  </si>
  <si>
    <t>Phantasmal Flames</t>
  </si>
  <si>
    <t>Mega Charizard X ex</t>
  </si>
  <si>
    <t>125/094</t>
  </si>
  <si>
    <t>Special Illustration Rare</t>
  </si>
  <si>
    <t>PSA 9.0 MINT</t>
  </si>
  <si>
    <t>130/094</t>
  </si>
  <si>
    <t>Mega Hyper Rare</t>
  </si>
  <si>
    <t>Phantasmal Flames Booster Box</t>
  </si>
  <si>
    <t>Phantasmal Flames Booster Box Case</t>
  </si>
  <si>
    <t>Phantasmal Flames Elite Trainer Box</t>
  </si>
  <si>
    <t>Phantasmal Flames Pokemon Center Elite Trainer Box (Exclusive)</t>
  </si>
  <si>
    <t>Prismatic Evolutions</t>
  </si>
  <si>
    <t>Flareon ex</t>
  </si>
  <si>
    <t>146/131</t>
  </si>
  <si>
    <t>Prismatic Evolutions Pokemon Center Elite Trainer Box (Exclusive)</t>
  </si>
  <si>
    <t>Prismatic Evolutions Premium Figure Collection</t>
  </si>
  <si>
    <t>Shrouded Fable</t>
  </si>
  <si>
    <t>Shrouded Fable Pokemon Center Elite Trainer Box (Exclusive)</t>
  </si>
  <si>
    <t>Silver Tempest</t>
  </si>
  <si>
    <t>Silver Tempest Booster Box</t>
  </si>
  <si>
    <t>Surging Sparks</t>
  </si>
  <si>
    <t>Surging Sparks Booster Box</t>
  </si>
  <si>
    <t>Surging Sparks Pokemon Center Elite Trainer Box (Exclusive)</t>
  </si>
  <si>
    <t>Trading Card Game Classic</t>
  </si>
  <si>
    <t>Pokemon Trading Card Game Classic</t>
  </si>
  <si>
    <t>White Flare</t>
  </si>
  <si>
    <t>White Flare Booster Bundle</t>
  </si>
  <si>
    <t>White Flare Pokemon Center Elite Trainer Box (Exclusive)</t>
  </si>
  <si>
    <t>Personal</t>
  </si>
  <si>
    <t>Dragon Ball Super Fusion World</t>
  </si>
  <si>
    <t>Awakened Pulse</t>
  </si>
  <si>
    <t>Awakened Pulse Booster Box</t>
  </si>
  <si>
    <t>Black Bolt Booster Bundle Display</t>
  </si>
  <si>
    <t>Prismatic Evolutions Booster Bundle Display</t>
  </si>
  <si>
    <t>SV: 151</t>
  </si>
  <si>
    <t>151 Booster Bundle Display</t>
  </si>
  <si>
    <t>SIRs</t>
  </si>
  <si>
    <t>Excadrill ex</t>
  </si>
  <si>
    <t>168/086</t>
  </si>
  <si>
    <t>Genesect ex</t>
  </si>
  <si>
    <t>169/086</t>
  </si>
  <si>
    <t>Kyurem ex</t>
  </si>
  <si>
    <t>165/086</t>
  </si>
  <si>
    <t>Meloetta ex</t>
  </si>
  <si>
    <t>167/086</t>
  </si>
  <si>
    <t>N's Plan</t>
  </si>
  <si>
    <t>170/086</t>
  </si>
  <si>
    <t>Serperior ex</t>
  </si>
  <si>
    <t>164/086</t>
  </si>
  <si>
    <t>Zekrom ex</t>
  </si>
  <si>
    <t>166/086</t>
  </si>
  <si>
    <t>Arven's Mabosstiff ex</t>
  </si>
  <si>
    <t>235/182</t>
  </si>
  <si>
    <t>Cynthia's Garchomp ex</t>
  </si>
  <si>
    <t>232/182</t>
  </si>
  <si>
    <t>Ethan's Adventure</t>
  </si>
  <si>
    <t>236/182</t>
  </si>
  <si>
    <t>Ethan's Ho-oh ex</t>
  </si>
  <si>
    <t>230/182</t>
  </si>
  <si>
    <t>Team Rocket's Ariana</t>
  </si>
  <si>
    <t>237/182</t>
  </si>
  <si>
    <t>Team Rocket's Crobat ex</t>
  </si>
  <si>
    <t>234/182</t>
  </si>
  <si>
    <t>Team Rocket's Giovanni</t>
  </si>
  <si>
    <t>238/182</t>
  </si>
  <si>
    <t>Team Rocket's Mewtwo ex</t>
  </si>
  <si>
    <t>231/182</t>
  </si>
  <si>
    <t>Team Rocket's Moltres ex</t>
  </si>
  <si>
    <t>229/182</t>
  </si>
  <si>
    <t>Team Rocket's Nidoking ex</t>
  </si>
  <si>
    <t>233/182</t>
  </si>
  <si>
    <t>Yanmega ex</t>
  </si>
  <si>
    <t>228/182</t>
  </si>
  <si>
    <t>Hop's Zacian ex</t>
  </si>
  <si>
    <t>186/159</t>
  </si>
  <si>
    <t>Iono's Bellibolt ex</t>
  </si>
  <si>
    <t>183/159</t>
  </si>
  <si>
    <t>Lillie's Clefairy ex</t>
  </si>
  <si>
    <t>184/159</t>
  </si>
  <si>
    <t>N's Zoroark ex</t>
  </si>
  <si>
    <t>185/159</t>
  </si>
  <si>
    <t>Salamence ex</t>
  </si>
  <si>
    <t>187/159</t>
  </si>
  <si>
    <t>Volcanion ex</t>
  </si>
  <si>
    <t>182/159</t>
  </si>
  <si>
    <t>Obsidian Flames</t>
  </si>
  <si>
    <t>Charizard ex</t>
  </si>
  <si>
    <t>223/197</t>
  </si>
  <si>
    <t>Eiscue ex</t>
  </si>
  <si>
    <t>222/197</t>
  </si>
  <si>
    <t>Geeta</t>
  </si>
  <si>
    <t>226/197</t>
  </si>
  <si>
    <t>Pidgeot ex</t>
  </si>
  <si>
    <t>225/197</t>
  </si>
  <si>
    <t>Poppy</t>
  </si>
  <si>
    <t>227/197</t>
  </si>
  <si>
    <t>Revavroom ex</t>
  </si>
  <si>
    <t>224/197</t>
  </si>
  <si>
    <t>Boss's Orders</t>
  </si>
  <si>
    <t>265/193</t>
  </si>
  <si>
    <t>Chien-Pao ex</t>
  </si>
  <si>
    <t>261/193</t>
  </si>
  <si>
    <t>Chi-Yu ex</t>
  </si>
  <si>
    <t>259/193</t>
  </si>
  <si>
    <t>Dendra</t>
  </si>
  <si>
    <t>266/193</t>
  </si>
  <si>
    <t>Giacomo</t>
  </si>
  <si>
    <t>267/193</t>
  </si>
  <si>
    <t>Grusha</t>
  </si>
  <si>
    <t>268/193</t>
  </si>
  <si>
    <t>Iono</t>
  </si>
  <si>
    <t>269/193</t>
  </si>
  <si>
    <t>Meowscarada ex</t>
  </si>
  <si>
    <t>256/193</t>
  </si>
  <si>
    <t>Quaquaval ex</t>
  </si>
  <si>
    <t>260/193</t>
  </si>
  <si>
    <t>Saguaro</t>
  </si>
  <si>
    <t>270/193</t>
  </si>
  <si>
    <t>Skeledirge ex</t>
  </si>
  <si>
    <t>258/193</t>
  </si>
  <si>
    <t>Squawkabilly ex</t>
  </si>
  <si>
    <t>264/193</t>
  </si>
  <si>
    <t>Ting-Lu ex</t>
  </si>
  <si>
    <t>263/193</t>
  </si>
  <si>
    <t>Tinkaton ex</t>
  </si>
  <si>
    <t>262/193</t>
  </si>
  <si>
    <t>Wo-Chien ex</t>
  </si>
  <si>
    <t>257/193</t>
  </si>
  <si>
    <t>Paldean Fates</t>
  </si>
  <si>
    <t>Arven</t>
  </si>
  <si>
    <t>235/091</t>
  </si>
  <si>
    <t>234/091</t>
  </si>
  <si>
    <t>Clive</t>
  </si>
  <si>
    <t>236/091</t>
  </si>
  <si>
    <t>Gardevoir ex</t>
  </si>
  <si>
    <t>233/091</t>
  </si>
  <si>
    <t>Iono 237/091</t>
  </si>
  <si>
    <t>237/091</t>
  </si>
  <si>
    <t>Mew ex</t>
  </si>
  <si>
    <t>232/091</t>
  </si>
  <si>
    <t>Nemona</t>
  </si>
  <si>
    <t>238/091</t>
  </si>
  <si>
    <t>Penny</t>
  </si>
  <si>
    <t>239/091</t>
  </si>
  <si>
    <t>Paradox Rift</t>
  </si>
  <si>
    <t>Altaria ex</t>
  </si>
  <si>
    <t>253/182</t>
  </si>
  <si>
    <t>Garchomp ex</t>
  </si>
  <si>
    <t>245/182</t>
  </si>
  <si>
    <t>Gholdengo ex</t>
  </si>
  <si>
    <t>252/182</t>
  </si>
  <si>
    <t>Golisopod ex</t>
  </si>
  <si>
    <t>246/182</t>
  </si>
  <si>
    <t>Iron Hands ex</t>
  </si>
  <si>
    <t>248/182</t>
  </si>
  <si>
    <t>Iron Valiant ex</t>
  </si>
  <si>
    <t>249/182</t>
  </si>
  <si>
    <t>Mela</t>
  </si>
  <si>
    <t>254/182</t>
  </si>
  <si>
    <t>Parasol Lady</t>
  </si>
  <si>
    <t>255/182</t>
  </si>
  <si>
    <t>Professor Sada's Vitality</t>
  </si>
  <si>
    <t>256/182</t>
  </si>
  <si>
    <t>Professor Turo's Scenario</t>
  </si>
  <si>
    <t>257/182</t>
  </si>
  <si>
    <t>Rika</t>
  </si>
  <si>
    <t>258/182</t>
  </si>
  <si>
    <t>Roaring Moon ex</t>
  </si>
  <si>
    <t>251/182</t>
  </si>
  <si>
    <t>Sandy Shocks ex</t>
  </si>
  <si>
    <t>250/182</t>
  </si>
  <si>
    <t>Tapu Koko ex</t>
  </si>
  <si>
    <t>247/182</t>
  </si>
  <si>
    <t>Tulip</t>
  </si>
  <si>
    <t>259/182</t>
  </si>
  <si>
    <t>Scarlet &amp; Violet Base Set</t>
  </si>
  <si>
    <t>249/198</t>
  </si>
  <si>
    <t>245/198</t>
  </si>
  <si>
    <t>Great Tusk ex</t>
  </si>
  <si>
    <t>246/198</t>
  </si>
  <si>
    <t>Koraidon ex</t>
  </si>
  <si>
    <t>247/198</t>
  </si>
  <si>
    <t>Miraidon ex</t>
  </si>
  <si>
    <t>244/198</t>
  </si>
  <si>
    <t>Miriam</t>
  </si>
  <si>
    <t>251/198</t>
  </si>
  <si>
    <t>252/198</t>
  </si>
  <si>
    <t>Spidops ex</t>
  </si>
  <si>
    <t>243/198</t>
  </si>
  <si>
    <t>Cassiopeia</t>
  </si>
  <si>
    <t>094/064</t>
  </si>
  <si>
    <t>Fezandipiti ex</t>
  </si>
  <si>
    <t>092/064</t>
  </si>
  <si>
    <t>Munkidori ex</t>
  </si>
  <si>
    <t>091/064</t>
  </si>
  <si>
    <t>Okidogi ex</t>
  </si>
  <si>
    <t>090/064</t>
  </si>
  <si>
    <t>Pecharunt ex</t>
  </si>
  <si>
    <t>093/064</t>
  </si>
  <si>
    <t>Stellar Crown</t>
  </si>
  <si>
    <t>Briar</t>
  </si>
  <si>
    <t>171/142</t>
  </si>
  <si>
    <t>Dachsbun ex</t>
  </si>
  <si>
    <t>169/142</t>
  </si>
  <si>
    <t>Galvantula ex</t>
  </si>
  <si>
    <t>168/142</t>
  </si>
  <si>
    <t>Hydrapple ex</t>
  </si>
  <si>
    <t>167/142</t>
  </si>
  <si>
    <t>Lacey</t>
  </si>
  <si>
    <t>172/142</t>
  </si>
  <si>
    <t>Terapagos ex</t>
  </si>
  <si>
    <t>170/142</t>
  </si>
  <si>
    <t>Alolan Exeggutor ex</t>
  </si>
  <si>
    <t>242/191</t>
  </si>
  <si>
    <t>Archaludon ex</t>
  </si>
  <si>
    <t>241/191</t>
  </si>
  <si>
    <t>Clemont's Quick Wit</t>
  </si>
  <si>
    <t>243/191</t>
  </si>
  <si>
    <t>Drayton</t>
  </si>
  <si>
    <t>244/191</t>
  </si>
  <si>
    <t>Durant ex</t>
  </si>
  <si>
    <t>236/191</t>
  </si>
  <si>
    <t>Hydreigon ex</t>
  </si>
  <si>
    <t>240/191</t>
  </si>
  <si>
    <t>Jasmine's Gaze</t>
  </si>
  <si>
    <t>245/191</t>
  </si>
  <si>
    <t>Latias ex</t>
  </si>
  <si>
    <t>239/191</t>
  </si>
  <si>
    <t>Lisia's Appeal</t>
  </si>
  <si>
    <t>246/191</t>
  </si>
  <si>
    <t>Milotic ex</t>
  </si>
  <si>
    <t>237/191</t>
  </si>
  <si>
    <t>Pikachu ex</t>
  </si>
  <si>
    <t>238/191</t>
  </si>
  <si>
    <t>Alakazam ex</t>
  </si>
  <si>
    <t>201/165</t>
  </si>
  <si>
    <t>Blastoise ex</t>
  </si>
  <si>
    <t>200/165</t>
  </si>
  <si>
    <t>199/165</t>
  </si>
  <si>
    <t>Erika's Invitation</t>
  </si>
  <si>
    <t>203/165</t>
  </si>
  <si>
    <t>Giovanni's Charisma</t>
  </si>
  <si>
    <t>204/165</t>
  </si>
  <si>
    <t>Venusaur ex</t>
  </si>
  <si>
    <t>198/165</t>
  </si>
  <si>
    <t>Zapdos ex</t>
  </si>
  <si>
    <t>202/165</t>
  </si>
  <si>
    <t>Temporal Forces</t>
  </si>
  <si>
    <t>Bianca's Devotion</t>
  </si>
  <si>
    <t>209/162</t>
  </si>
  <si>
    <t>Eri</t>
  </si>
  <si>
    <t>210/162</t>
  </si>
  <si>
    <t>Gouging Fire ex</t>
  </si>
  <si>
    <t>204/162</t>
  </si>
  <si>
    <t>Iron Boulder ex</t>
  </si>
  <si>
    <t>207/162</t>
  </si>
  <si>
    <t>Iron Crown ex</t>
  </si>
  <si>
    <t>206/162</t>
  </si>
  <si>
    <t>Iron Leaves ex</t>
  </si>
  <si>
    <t>203/162</t>
  </si>
  <si>
    <t>Morty's Conviction</t>
  </si>
  <si>
    <t>211/162</t>
  </si>
  <si>
    <t>Raging Bolt ex</t>
  </si>
  <si>
    <t>208/162</t>
  </si>
  <si>
    <t>Salvatore</t>
  </si>
  <si>
    <t>212/162</t>
  </si>
  <si>
    <t>Walking Wake ex</t>
  </si>
  <si>
    <t>205/162</t>
  </si>
  <si>
    <t>Twilight Masquerade</t>
  </si>
  <si>
    <t>Bloodmoon Ursaluna ex</t>
  </si>
  <si>
    <t>216/167</t>
  </si>
  <si>
    <t>Carmine</t>
  </si>
  <si>
    <t>217/167</t>
  </si>
  <si>
    <t>Cornerstone Mask Ogerpon ex</t>
  </si>
  <si>
    <t>215/167</t>
  </si>
  <si>
    <t>Greninja ex</t>
  </si>
  <si>
    <t>214/167</t>
  </si>
  <si>
    <t>Hearthflame Mask Ogerpon ex</t>
  </si>
  <si>
    <t>212/167</t>
  </si>
  <si>
    <t>Kieran</t>
  </si>
  <si>
    <t>218/167</t>
  </si>
  <si>
    <t>Lana's Aid</t>
  </si>
  <si>
    <t>219/167</t>
  </si>
  <si>
    <t>Perrin</t>
  </si>
  <si>
    <t>220/167</t>
  </si>
  <si>
    <t>Sinistcha ex</t>
  </si>
  <si>
    <t>210/167</t>
  </si>
  <si>
    <t>Teal Mask Ogerpon ex</t>
  </si>
  <si>
    <t>211/167</t>
  </si>
  <si>
    <t>Wellspring Mask Ogerpon ex</t>
  </si>
  <si>
    <t>213/167</t>
  </si>
  <si>
    <t>Bouffalant ex</t>
  </si>
  <si>
    <t>Hilda</t>
  </si>
  <si>
    <t>171/086</t>
  </si>
  <si>
    <t>Jellicent ex</t>
  </si>
  <si>
    <t>Keldeo ex</t>
  </si>
  <si>
    <t>Reshiram ex</t>
  </si>
  <si>
    <t>Whimsicott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</si>
</sst>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4E76-A3B3-41E9-9290-B2A3C349EF7C}">
  <dimension ref="A1:Q181"/>
  <sheetViews>
    <sheetView tabSelected="1" topLeftCell="A41" workbookViewId="0">
      <selection activeCell="Q2" sqref="Q2:Q48"/>
    </sheetView>
  </sheetViews>
  <sheetFormatPr defaultRowHeight="15"/>
  <cols>
    <col min="1" max="1" width="14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t="s">
        <v>16</v>
      </c>
      <c r="B2" t="s">
        <v>17</v>
      </c>
      <c r="C2" t="s">
        <v>18</v>
      </c>
      <c r="D2" t="s">
        <v>19</v>
      </c>
      <c r="G2" t="s">
        <v>20</v>
      </c>
      <c r="H2" t="s">
        <v>21</v>
      </c>
      <c r="I2" t="s">
        <v>22</v>
      </c>
      <c r="J2">
        <v>0</v>
      </c>
      <c r="K2">
        <v>1</v>
      </c>
      <c r="L2">
        <v>370.43</v>
      </c>
      <c r="M2">
        <v>0</v>
      </c>
      <c r="N2" t="b">
        <v>0</v>
      </c>
      <c r="O2" s="1">
        <v>45975</v>
      </c>
      <c r="Q2">
        <f>K2*L2</f>
        <v>370.43</v>
      </c>
    </row>
    <row r="3" spans="1:17">
      <c r="A3" t="s">
        <v>16</v>
      </c>
      <c r="B3" t="s">
        <v>17</v>
      </c>
      <c r="C3" t="s">
        <v>23</v>
      </c>
      <c r="D3" t="s">
        <v>24</v>
      </c>
      <c r="E3">
        <v>7031</v>
      </c>
      <c r="F3" t="s">
        <v>25</v>
      </c>
      <c r="G3" t="s">
        <v>26</v>
      </c>
      <c r="H3" t="s">
        <v>21</v>
      </c>
      <c r="I3" t="s">
        <v>22</v>
      </c>
      <c r="J3">
        <v>0</v>
      </c>
      <c r="K3">
        <v>1</v>
      </c>
      <c r="L3">
        <v>241.06</v>
      </c>
      <c r="M3">
        <v>0</v>
      </c>
      <c r="N3" t="b">
        <v>0</v>
      </c>
      <c r="O3" s="1">
        <v>45942</v>
      </c>
      <c r="Q3">
        <f t="shared" ref="Q3:Q66" si="0">K3*L3</f>
        <v>241.06</v>
      </c>
    </row>
    <row r="4" spans="1:17">
      <c r="A4" t="s">
        <v>16</v>
      </c>
      <c r="B4" t="s">
        <v>27</v>
      </c>
      <c r="C4" t="s">
        <v>28</v>
      </c>
      <c r="D4" t="s">
        <v>29</v>
      </c>
      <c r="G4" t="s">
        <v>20</v>
      </c>
      <c r="H4" t="s">
        <v>21</v>
      </c>
      <c r="I4" t="s">
        <v>22</v>
      </c>
      <c r="J4">
        <v>0</v>
      </c>
      <c r="K4">
        <v>14</v>
      </c>
      <c r="L4">
        <v>95.84</v>
      </c>
      <c r="M4">
        <v>0</v>
      </c>
      <c r="N4" t="b">
        <v>0</v>
      </c>
      <c r="O4" s="1">
        <v>46130</v>
      </c>
      <c r="Q4">
        <f t="shared" si="0"/>
        <v>1341.76</v>
      </c>
    </row>
    <row r="5" spans="1:17">
      <c r="A5" t="s">
        <v>16</v>
      </c>
      <c r="B5" t="s">
        <v>27</v>
      </c>
      <c r="C5" t="s">
        <v>28</v>
      </c>
      <c r="D5" t="s">
        <v>30</v>
      </c>
      <c r="G5" t="s">
        <v>20</v>
      </c>
      <c r="H5" t="s">
        <v>21</v>
      </c>
      <c r="I5" t="s">
        <v>22</v>
      </c>
      <c r="J5">
        <v>0</v>
      </c>
      <c r="K5">
        <v>3</v>
      </c>
      <c r="L5">
        <v>175.07</v>
      </c>
      <c r="M5">
        <v>0</v>
      </c>
      <c r="N5" t="b">
        <v>0</v>
      </c>
      <c r="O5" s="1">
        <v>46072</v>
      </c>
      <c r="Q5">
        <f t="shared" si="0"/>
        <v>525.21</v>
      </c>
    </row>
    <row r="6" spans="1:17">
      <c r="A6" t="s">
        <v>16</v>
      </c>
      <c r="B6" t="s">
        <v>27</v>
      </c>
      <c r="C6" t="s">
        <v>28</v>
      </c>
      <c r="D6" t="s">
        <v>31</v>
      </c>
      <c r="G6" t="s">
        <v>20</v>
      </c>
      <c r="H6" t="s">
        <v>21</v>
      </c>
      <c r="I6" t="s">
        <v>22</v>
      </c>
      <c r="J6">
        <v>0</v>
      </c>
      <c r="K6">
        <v>2</v>
      </c>
      <c r="L6">
        <v>464.98</v>
      </c>
      <c r="M6">
        <v>0</v>
      </c>
      <c r="N6" t="b">
        <v>0</v>
      </c>
      <c r="O6" s="1">
        <v>46072</v>
      </c>
      <c r="Q6">
        <f t="shared" si="0"/>
        <v>929.96</v>
      </c>
    </row>
    <row r="7" spans="1:17">
      <c r="A7" t="s">
        <v>16</v>
      </c>
      <c r="B7" t="s">
        <v>27</v>
      </c>
      <c r="C7" t="s">
        <v>32</v>
      </c>
      <c r="D7" t="s">
        <v>33</v>
      </c>
      <c r="G7" t="s">
        <v>20</v>
      </c>
      <c r="H7" t="s">
        <v>21</v>
      </c>
      <c r="I7" t="s">
        <v>22</v>
      </c>
      <c r="J7">
        <v>0</v>
      </c>
      <c r="K7">
        <v>5</v>
      </c>
      <c r="L7">
        <v>86.93</v>
      </c>
      <c r="M7">
        <v>0</v>
      </c>
      <c r="N7" t="b">
        <v>0</v>
      </c>
      <c r="O7" s="1">
        <v>45916</v>
      </c>
      <c r="Q7">
        <f t="shared" si="0"/>
        <v>434.65000000000003</v>
      </c>
    </row>
    <row r="8" spans="1:17">
      <c r="A8" t="s">
        <v>16</v>
      </c>
      <c r="B8" t="s">
        <v>27</v>
      </c>
      <c r="C8" t="s">
        <v>32</v>
      </c>
      <c r="D8" t="s">
        <v>34</v>
      </c>
      <c r="G8" t="s">
        <v>20</v>
      </c>
      <c r="H8" t="s">
        <v>21</v>
      </c>
      <c r="I8" t="s">
        <v>22</v>
      </c>
      <c r="J8">
        <v>0</v>
      </c>
      <c r="K8">
        <v>1</v>
      </c>
      <c r="L8">
        <v>265.77</v>
      </c>
      <c r="M8">
        <v>0</v>
      </c>
      <c r="N8" t="b">
        <v>0</v>
      </c>
      <c r="O8" s="1">
        <v>45794</v>
      </c>
      <c r="Q8">
        <f t="shared" si="0"/>
        <v>265.77</v>
      </c>
    </row>
    <row r="9" spans="1:17">
      <c r="A9" t="s">
        <v>16</v>
      </c>
      <c r="B9" t="s">
        <v>27</v>
      </c>
      <c r="C9" t="s">
        <v>35</v>
      </c>
      <c r="D9" t="s">
        <v>36</v>
      </c>
      <c r="G9" t="s">
        <v>20</v>
      </c>
      <c r="H9" t="s">
        <v>21</v>
      </c>
      <c r="I9" t="s">
        <v>22</v>
      </c>
      <c r="J9">
        <v>0</v>
      </c>
      <c r="K9">
        <v>1</v>
      </c>
      <c r="L9">
        <v>625.83000000000004</v>
      </c>
      <c r="M9">
        <v>0</v>
      </c>
      <c r="N9" t="b">
        <v>0</v>
      </c>
      <c r="O9" s="1">
        <v>46046</v>
      </c>
      <c r="Q9">
        <f t="shared" si="0"/>
        <v>625.83000000000004</v>
      </c>
    </row>
    <row r="10" spans="1:17">
      <c r="A10" t="s">
        <v>16</v>
      </c>
      <c r="B10" t="s">
        <v>27</v>
      </c>
      <c r="C10" t="s">
        <v>37</v>
      </c>
      <c r="D10" t="s">
        <v>38</v>
      </c>
      <c r="G10" t="s">
        <v>20</v>
      </c>
      <c r="H10" t="s">
        <v>21</v>
      </c>
      <c r="I10" t="s">
        <v>22</v>
      </c>
      <c r="J10">
        <v>0</v>
      </c>
      <c r="K10">
        <v>3</v>
      </c>
      <c r="L10">
        <v>235.34</v>
      </c>
      <c r="M10">
        <v>0</v>
      </c>
      <c r="N10" t="b">
        <v>0</v>
      </c>
      <c r="O10" s="1">
        <v>46165</v>
      </c>
      <c r="Q10">
        <f t="shared" si="0"/>
        <v>706.02</v>
      </c>
    </row>
    <row r="11" spans="1:17">
      <c r="A11" t="s">
        <v>16</v>
      </c>
      <c r="B11" t="s">
        <v>27</v>
      </c>
      <c r="C11" t="s">
        <v>39</v>
      </c>
      <c r="D11" t="s">
        <v>40</v>
      </c>
      <c r="G11" t="s">
        <v>20</v>
      </c>
      <c r="H11" t="s">
        <v>21</v>
      </c>
      <c r="I11" t="s">
        <v>22</v>
      </c>
      <c r="J11">
        <v>0</v>
      </c>
      <c r="K11">
        <v>3</v>
      </c>
      <c r="L11">
        <v>595.73</v>
      </c>
      <c r="M11">
        <v>0</v>
      </c>
      <c r="N11" t="b">
        <v>0</v>
      </c>
      <c r="O11" s="1">
        <v>45807</v>
      </c>
      <c r="Q11">
        <f t="shared" si="0"/>
        <v>1787.19</v>
      </c>
    </row>
    <row r="12" spans="1:17">
      <c r="A12" t="s">
        <v>16</v>
      </c>
      <c r="B12" t="s">
        <v>27</v>
      </c>
      <c r="C12" t="s">
        <v>39</v>
      </c>
      <c r="D12" t="s">
        <v>41</v>
      </c>
      <c r="G12" t="s">
        <v>20</v>
      </c>
      <c r="H12" t="s">
        <v>21</v>
      </c>
      <c r="I12" t="s">
        <v>22</v>
      </c>
      <c r="J12">
        <v>0</v>
      </c>
      <c r="K12">
        <v>1</v>
      </c>
      <c r="L12">
        <v>492.32</v>
      </c>
      <c r="M12">
        <v>0</v>
      </c>
      <c r="N12" t="b">
        <v>0</v>
      </c>
      <c r="O12" s="1">
        <v>45955</v>
      </c>
      <c r="Q12">
        <f t="shared" si="0"/>
        <v>492.32</v>
      </c>
    </row>
    <row r="13" spans="1:17">
      <c r="A13" t="s">
        <v>16</v>
      </c>
      <c r="B13" t="s">
        <v>27</v>
      </c>
      <c r="C13" t="s">
        <v>42</v>
      </c>
      <c r="D13" t="s">
        <v>43</v>
      </c>
      <c r="G13" t="s">
        <v>20</v>
      </c>
      <c r="H13" t="s">
        <v>21</v>
      </c>
      <c r="I13" t="s">
        <v>22</v>
      </c>
      <c r="J13">
        <v>0</v>
      </c>
      <c r="K13">
        <v>1</v>
      </c>
      <c r="L13" s="2">
        <v>2352.38</v>
      </c>
      <c r="M13">
        <v>0</v>
      </c>
      <c r="N13" t="b">
        <v>0</v>
      </c>
      <c r="O13" s="1">
        <v>46046</v>
      </c>
      <c r="Q13">
        <f t="shared" si="0"/>
        <v>2352.38</v>
      </c>
    </row>
    <row r="14" spans="1:17">
      <c r="A14" t="s">
        <v>16</v>
      </c>
      <c r="B14" t="s">
        <v>27</v>
      </c>
      <c r="C14" t="s">
        <v>44</v>
      </c>
      <c r="D14" t="s">
        <v>45</v>
      </c>
      <c r="G14" t="s">
        <v>20</v>
      </c>
      <c r="H14" t="s">
        <v>21</v>
      </c>
      <c r="I14" t="s">
        <v>22</v>
      </c>
      <c r="J14">
        <v>0</v>
      </c>
      <c r="K14">
        <v>1</v>
      </c>
      <c r="L14" s="2">
        <v>1003.47</v>
      </c>
      <c r="M14">
        <v>0</v>
      </c>
      <c r="N14" t="b">
        <v>0</v>
      </c>
      <c r="O14" s="1">
        <v>45955</v>
      </c>
      <c r="Q14">
        <f t="shared" si="0"/>
        <v>1003.47</v>
      </c>
    </row>
    <row r="15" spans="1:17">
      <c r="A15" t="s">
        <v>16</v>
      </c>
      <c r="B15" t="s">
        <v>27</v>
      </c>
      <c r="C15" t="s">
        <v>46</v>
      </c>
      <c r="D15" t="s">
        <v>47</v>
      </c>
      <c r="G15" t="s">
        <v>20</v>
      </c>
      <c r="H15" t="s">
        <v>21</v>
      </c>
      <c r="I15" t="s">
        <v>22</v>
      </c>
      <c r="J15">
        <v>0</v>
      </c>
      <c r="K15">
        <v>3</v>
      </c>
      <c r="L15">
        <v>281.89999999999998</v>
      </c>
      <c r="M15">
        <v>0</v>
      </c>
      <c r="N15" t="b">
        <v>0</v>
      </c>
      <c r="O15" s="1">
        <v>45934</v>
      </c>
      <c r="Q15">
        <f t="shared" si="0"/>
        <v>845.69999999999993</v>
      </c>
    </row>
    <row r="16" spans="1:17">
      <c r="A16" t="s">
        <v>16</v>
      </c>
      <c r="B16" t="s">
        <v>27</v>
      </c>
      <c r="C16" t="s">
        <v>46</v>
      </c>
      <c r="D16" t="s">
        <v>48</v>
      </c>
      <c r="G16" t="s">
        <v>20</v>
      </c>
      <c r="H16" t="s">
        <v>21</v>
      </c>
      <c r="I16" t="s">
        <v>22</v>
      </c>
      <c r="J16">
        <v>0</v>
      </c>
      <c r="K16">
        <v>1</v>
      </c>
      <c r="L16">
        <v>203.19</v>
      </c>
      <c r="M16">
        <v>0</v>
      </c>
      <c r="N16" t="b">
        <v>0</v>
      </c>
      <c r="O16" s="1">
        <v>45955</v>
      </c>
      <c r="Q16">
        <f t="shared" si="0"/>
        <v>203.19</v>
      </c>
    </row>
    <row r="17" spans="1:17">
      <c r="A17" t="s">
        <v>16</v>
      </c>
      <c r="B17" t="s">
        <v>27</v>
      </c>
      <c r="C17" t="s">
        <v>49</v>
      </c>
      <c r="D17" t="s">
        <v>50</v>
      </c>
      <c r="G17" t="s">
        <v>20</v>
      </c>
      <c r="H17" t="s">
        <v>21</v>
      </c>
      <c r="I17" t="s">
        <v>22</v>
      </c>
      <c r="J17">
        <v>0</v>
      </c>
      <c r="K17">
        <v>1</v>
      </c>
      <c r="L17">
        <v>781.67</v>
      </c>
      <c r="M17">
        <v>0</v>
      </c>
      <c r="N17" t="b">
        <v>0</v>
      </c>
      <c r="O17" s="1">
        <v>46046</v>
      </c>
      <c r="Q17">
        <f t="shared" si="0"/>
        <v>781.67</v>
      </c>
    </row>
    <row r="18" spans="1:17">
      <c r="A18" t="s">
        <v>16</v>
      </c>
      <c r="B18" t="s">
        <v>27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21</v>
      </c>
      <c r="I18" t="s">
        <v>22</v>
      </c>
      <c r="J18">
        <v>0</v>
      </c>
      <c r="K18">
        <v>1</v>
      </c>
      <c r="L18">
        <v>291.89</v>
      </c>
      <c r="M18">
        <v>0</v>
      </c>
      <c r="N18" t="b">
        <v>0</v>
      </c>
      <c r="O18" s="1">
        <v>46025</v>
      </c>
      <c r="Q18">
        <f t="shared" si="0"/>
        <v>291.89</v>
      </c>
    </row>
    <row r="19" spans="1:17">
      <c r="A19" t="s">
        <v>16</v>
      </c>
      <c r="B19" t="s">
        <v>27</v>
      </c>
      <c r="C19" t="s">
        <v>56</v>
      </c>
      <c r="D19" t="s">
        <v>57</v>
      </c>
      <c r="G19" t="s">
        <v>20</v>
      </c>
      <c r="H19" t="s">
        <v>21</v>
      </c>
      <c r="I19" t="s">
        <v>22</v>
      </c>
      <c r="J19">
        <v>0</v>
      </c>
      <c r="K19">
        <v>3</v>
      </c>
      <c r="L19">
        <v>308.17</v>
      </c>
      <c r="M19">
        <v>0</v>
      </c>
      <c r="N19" t="b">
        <v>0</v>
      </c>
      <c r="O19" s="1">
        <v>45941</v>
      </c>
      <c r="Q19">
        <f t="shared" si="0"/>
        <v>924.51</v>
      </c>
    </row>
    <row r="20" spans="1:17">
      <c r="A20" t="s">
        <v>16</v>
      </c>
      <c r="B20" t="s">
        <v>27</v>
      </c>
      <c r="C20" t="s">
        <v>56</v>
      </c>
      <c r="D20" t="s">
        <v>58</v>
      </c>
      <c r="G20" t="s">
        <v>20</v>
      </c>
      <c r="H20" t="s">
        <v>21</v>
      </c>
      <c r="I20" t="s">
        <v>22</v>
      </c>
      <c r="J20">
        <v>0</v>
      </c>
      <c r="K20">
        <v>3</v>
      </c>
      <c r="L20">
        <v>314.39999999999998</v>
      </c>
      <c r="M20">
        <v>0</v>
      </c>
      <c r="N20" t="b">
        <v>0</v>
      </c>
      <c r="O20" s="1">
        <v>45941</v>
      </c>
      <c r="Q20">
        <f t="shared" si="0"/>
        <v>943.19999999999993</v>
      </c>
    </row>
    <row r="21" spans="1:17">
      <c r="A21" t="s">
        <v>16</v>
      </c>
      <c r="B21" t="s">
        <v>27</v>
      </c>
      <c r="C21" t="s">
        <v>56</v>
      </c>
      <c r="D21" t="s">
        <v>59</v>
      </c>
      <c r="G21" t="s">
        <v>20</v>
      </c>
      <c r="H21" t="s">
        <v>21</v>
      </c>
      <c r="I21" t="s">
        <v>22</v>
      </c>
      <c r="J21">
        <v>0</v>
      </c>
      <c r="K21">
        <v>3</v>
      </c>
      <c r="L21">
        <v>169.18</v>
      </c>
      <c r="M21">
        <v>0</v>
      </c>
      <c r="N21" t="b">
        <v>0</v>
      </c>
      <c r="O21" s="1">
        <v>45944</v>
      </c>
      <c r="Q21">
        <f t="shared" si="0"/>
        <v>507.54</v>
      </c>
    </row>
    <row r="22" spans="1:17">
      <c r="A22" t="s">
        <v>16</v>
      </c>
      <c r="B22" t="s">
        <v>27</v>
      </c>
      <c r="C22" t="s">
        <v>56</v>
      </c>
      <c r="D22" t="s">
        <v>60</v>
      </c>
      <c r="G22" t="s">
        <v>20</v>
      </c>
      <c r="H22" t="s">
        <v>21</v>
      </c>
      <c r="I22" t="s">
        <v>22</v>
      </c>
      <c r="J22">
        <v>0</v>
      </c>
      <c r="K22">
        <v>1</v>
      </c>
      <c r="L22">
        <v>213.92</v>
      </c>
      <c r="M22">
        <v>0</v>
      </c>
      <c r="N22" t="b">
        <v>0</v>
      </c>
      <c r="O22" s="1">
        <v>45941</v>
      </c>
      <c r="Q22">
        <f t="shared" si="0"/>
        <v>213.92</v>
      </c>
    </row>
    <row r="23" spans="1:17">
      <c r="A23" t="s">
        <v>16</v>
      </c>
      <c r="B23" t="s">
        <v>27</v>
      </c>
      <c r="C23" t="s">
        <v>56</v>
      </c>
      <c r="D23" t="s">
        <v>61</v>
      </c>
      <c r="G23" t="s">
        <v>20</v>
      </c>
      <c r="H23" t="s">
        <v>21</v>
      </c>
      <c r="I23" t="s">
        <v>22</v>
      </c>
      <c r="J23">
        <v>0</v>
      </c>
      <c r="K23">
        <v>1</v>
      </c>
      <c r="L23">
        <v>237.93</v>
      </c>
      <c r="M23">
        <v>0</v>
      </c>
      <c r="N23" t="b">
        <v>0</v>
      </c>
      <c r="O23" s="1">
        <v>45941</v>
      </c>
      <c r="Q23">
        <f t="shared" si="0"/>
        <v>237.93</v>
      </c>
    </row>
    <row r="24" spans="1:17">
      <c r="A24" t="s">
        <v>16</v>
      </c>
      <c r="B24" t="s">
        <v>27</v>
      </c>
      <c r="C24" t="s">
        <v>62</v>
      </c>
      <c r="D24" t="s">
        <v>63</v>
      </c>
      <c r="G24" t="s">
        <v>20</v>
      </c>
      <c r="H24" t="s">
        <v>21</v>
      </c>
      <c r="I24" t="s">
        <v>22</v>
      </c>
      <c r="J24">
        <v>0</v>
      </c>
      <c r="K24">
        <v>1</v>
      </c>
      <c r="L24">
        <v>221.3</v>
      </c>
      <c r="M24">
        <v>0</v>
      </c>
      <c r="N24" t="b">
        <v>0</v>
      </c>
      <c r="O24" s="1">
        <v>45947</v>
      </c>
      <c r="Q24">
        <f t="shared" si="0"/>
        <v>221.3</v>
      </c>
    </row>
    <row r="25" spans="1:17">
      <c r="A25" t="s">
        <v>16</v>
      </c>
      <c r="B25" t="s">
        <v>27</v>
      </c>
      <c r="C25" t="s">
        <v>62</v>
      </c>
      <c r="D25" t="s">
        <v>64</v>
      </c>
      <c r="G25" t="s">
        <v>20</v>
      </c>
      <c r="H25" t="s">
        <v>21</v>
      </c>
      <c r="I25" t="s">
        <v>22</v>
      </c>
      <c r="J25">
        <v>0</v>
      </c>
      <c r="K25">
        <v>2</v>
      </c>
      <c r="L25">
        <v>256.5</v>
      </c>
      <c r="M25">
        <v>0</v>
      </c>
      <c r="N25" t="b">
        <v>0</v>
      </c>
      <c r="O25" s="1">
        <v>45990</v>
      </c>
      <c r="Q25">
        <f t="shared" si="0"/>
        <v>513</v>
      </c>
    </row>
    <row r="26" spans="1:17">
      <c r="A26" t="s">
        <v>16</v>
      </c>
      <c r="B26" t="s">
        <v>27</v>
      </c>
      <c r="C26" t="s">
        <v>62</v>
      </c>
      <c r="D26" t="s">
        <v>65</v>
      </c>
      <c r="G26" t="s">
        <v>20</v>
      </c>
      <c r="H26" t="s">
        <v>21</v>
      </c>
      <c r="I26" t="s">
        <v>22</v>
      </c>
      <c r="J26">
        <v>0</v>
      </c>
      <c r="K26">
        <v>1</v>
      </c>
      <c r="L26">
        <v>343.34</v>
      </c>
      <c r="M26">
        <v>0</v>
      </c>
      <c r="N26" t="b">
        <v>0</v>
      </c>
      <c r="O26" s="1">
        <v>46043</v>
      </c>
      <c r="Q26">
        <f t="shared" si="0"/>
        <v>343.34</v>
      </c>
    </row>
    <row r="27" spans="1:17">
      <c r="A27" t="s">
        <v>16</v>
      </c>
      <c r="B27" t="s">
        <v>27</v>
      </c>
      <c r="C27" t="s">
        <v>66</v>
      </c>
      <c r="D27" t="s">
        <v>67</v>
      </c>
      <c r="G27" t="s">
        <v>20</v>
      </c>
      <c r="H27" t="s">
        <v>21</v>
      </c>
      <c r="I27" t="s">
        <v>22</v>
      </c>
      <c r="J27">
        <v>0</v>
      </c>
      <c r="K27">
        <v>3</v>
      </c>
      <c r="L27">
        <v>214.03</v>
      </c>
      <c r="M27">
        <v>0</v>
      </c>
      <c r="N27" t="b">
        <v>0</v>
      </c>
      <c r="O27" s="1">
        <v>45913</v>
      </c>
      <c r="Q27">
        <f t="shared" si="0"/>
        <v>642.09</v>
      </c>
    </row>
    <row r="28" spans="1:17">
      <c r="A28" t="s">
        <v>16</v>
      </c>
      <c r="B28" t="s">
        <v>27</v>
      </c>
      <c r="C28" t="s">
        <v>68</v>
      </c>
      <c r="D28" t="s">
        <v>69</v>
      </c>
      <c r="G28" t="s">
        <v>20</v>
      </c>
      <c r="H28" t="s">
        <v>21</v>
      </c>
      <c r="I28" t="s">
        <v>22</v>
      </c>
      <c r="J28">
        <v>0</v>
      </c>
      <c r="K28">
        <v>2</v>
      </c>
      <c r="L28">
        <v>221.38</v>
      </c>
      <c r="M28">
        <v>0</v>
      </c>
      <c r="N28" t="b">
        <v>0</v>
      </c>
      <c r="O28" s="1">
        <v>46115</v>
      </c>
      <c r="Q28">
        <f t="shared" si="0"/>
        <v>442.76</v>
      </c>
    </row>
    <row r="29" spans="1:17">
      <c r="A29" t="s">
        <v>16</v>
      </c>
      <c r="B29" t="s">
        <v>27</v>
      </c>
      <c r="C29" t="s">
        <v>70</v>
      </c>
      <c r="D29" t="s">
        <v>71</v>
      </c>
      <c r="E29" t="s">
        <v>72</v>
      </c>
      <c r="F29" t="s">
        <v>73</v>
      </c>
      <c r="G29" t="s">
        <v>55</v>
      </c>
      <c r="H29" t="s">
        <v>74</v>
      </c>
      <c r="I29" t="s">
        <v>22</v>
      </c>
      <c r="J29">
        <v>0</v>
      </c>
      <c r="K29">
        <v>1</v>
      </c>
      <c r="L29">
        <v>872.73</v>
      </c>
      <c r="M29">
        <v>0</v>
      </c>
      <c r="N29" t="b">
        <v>0</v>
      </c>
      <c r="O29" s="1">
        <v>46178</v>
      </c>
      <c r="Q29">
        <f t="shared" si="0"/>
        <v>872.73</v>
      </c>
    </row>
    <row r="30" spans="1:17">
      <c r="A30" t="s">
        <v>16</v>
      </c>
      <c r="B30" t="s">
        <v>27</v>
      </c>
      <c r="C30" t="s">
        <v>70</v>
      </c>
      <c r="D30" t="s">
        <v>71</v>
      </c>
      <c r="E30" t="s">
        <v>75</v>
      </c>
      <c r="F30" t="s">
        <v>76</v>
      </c>
      <c r="G30" t="s">
        <v>55</v>
      </c>
      <c r="H30" t="s">
        <v>74</v>
      </c>
      <c r="I30" t="s">
        <v>22</v>
      </c>
      <c r="J30">
        <v>0</v>
      </c>
      <c r="K30">
        <v>1</v>
      </c>
      <c r="L30">
        <v>371.7</v>
      </c>
      <c r="M30">
        <v>0</v>
      </c>
      <c r="N30" t="b">
        <v>0</v>
      </c>
      <c r="O30" s="1">
        <v>46178</v>
      </c>
      <c r="Q30">
        <f t="shared" si="0"/>
        <v>371.7</v>
      </c>
    </row>
    <row r="31" spans="1:17">
      <c r="A31" t="s">
        <v>16</v>
      </c>
      <c r="B31" t="s">
        <v>27</v>
      </c>
      <c r="C31" t="s">
        <v>70</v>
      </c>
      <c r="D31" t="s">
        <v>77</v>
      </c>
      <c r="G31" t="s">
        <v>20</v>
      </c>
      <c r="H31" t="s">
        <v>21</v>
      </c>
      <c r="I31" t="s">
        <v>22</v>
      </c>
      <c r="J31">
        <v>0</v>
      </c>
      <c r="K31">
        <v>3</v>
      </c>
      <c r="L31">
        <v>462.69</v>
      </c>
      <c r="M31">
        <v>0</v>
      </c>
      <c r="N31" t="b">
        <v>0</v>
      </c>
      <c r="O31" s="1">
        <v>45975</v>
      </c>
      <c r="Q31">
        <f t="shared" si="0"/>
        <v>1388.07</v>
      </c>
    </row>
    <row r="32" spans="1:17">
      <c r="A32" t="s">
        <v>16</v>
      </c>
      <c r="B32" t="s">
        <v>27</v>
      </c>
      <c r="C32" t="s">
        <v>70</v>
      </c>
      <c r="D32" t="s">
        <v>78</v>
      </c>
      <c r="G32" t="s">
        <v>20</v>
      </c>
      <c r="H32" t="s">
        <v>21</v>
      </c>
      <c r="I32" t="s">
        <v>22</v>
      </c>
      <c r="J32">
        <v>0</v>
      </c>
      <c r="K32">
        <v>1</v>
      </c>
      <c r="L32" s="2">
        <v>2695.67</v>
      </c>
      <c r="M32">
        <v>0</v>
      </c>
      <c r="N32" t="b">
        <v>0</v>
      </c>
      <c r="O32" s="1">
        <v>45975</v>
      </c>
      <c r="Q32">
        <f t="shared" si="0"/>
        <v>2695.67</v>
      </c>
    </row>
    <row r="33" spans="1:17">
      <c r="A33" t="s">
        <v>16</v>
      </c>
      <c r="B33" t="s">
        <v>27</v>
      </c>
      <c r="C33" t="s">
        <v>70</v>
      </c>
      <c r="D33" t="s">
        <v>79</v>
      </c>
      <c r="G33" t="s">
        <v>20</v>
      </c>
      <c r="H33" t="s">
        <v>21</v>
      </c>
      <c r="I33" t="s">
        <v>22</v>
      </c>
      <c r="J33">
        <v>0</v>
      </c>
      <c r="K33">
        <v>5</v>
      </c>
      <c r="L33">
        <v>155.19</v>
      </c>
      <c r="M33">
        <v>0</v>
      </c>
      <c r="N33" t="b">
        <v>0</v>
      </c>
      <c r="O33" s="1">
        <v>45975</v>
      </c>
      <c r="Q33">
        <f t="shared" si="0"/>
        <v>775.95</v>
      </c>
    </row>
    <row r="34" spans="1:17">
      <c r="A34" t="s">
        <v>16</v>
      </c>
      <c r="B34" t="s">
        <v>27</v>
      </c>
      <c r="C34" t="s">
        <v>70</v>
      </c>
      <c r="D34" t="s">
        <v>80</v>
      </c>
      <c r="G34" t="s">
        <v>20</v>
      </c>
      <c r="H34" t="s">
        <v>21</v>
      </c>
      <c r="I34" t="s">
        <v>22</v>
      </c>
      <c r="J34">
        <v>0</v>
      </c>
      <c r="K34">
        <v>1</v>
      </c>
      <c r="L34">
        <v>289.52</v>
      </c>
      <c r="M34">
        <v>0</v>
      </c>
      <c r="N34" t="b">
        <v>0</v>
      </c>
      <c r="O34" s="1">
        <v>46027</v>
      </c>
      <c r="Q34">
        <f t="shared" si="0"/>
        <v>289.52</v>
      </c>
    </row>
    <row r="35" spans="1:17">
      <c r="A35" t="s">
        <v>16</v>
      </c>
      <c r="B35" t="s">
        <v>27</v>
      </c>
      <c r="C35" t="s">
        <v>81</v>
      </c>
      <c r="D35" t="s">
        <v>82</v>
      </c>
      <c r="E35" t="s">
        <v>83</v>
      </c>
      <c r="F35" t="s">
        <v>73</v>
      </c>
      <c r="G35" t="s">
        <v>55</v>
      </c>
      <c r="H35" t="s">
        <v>21</v>
      </c>
      <c r="I35" t="s">
        <v>22</v>
      </c>
      <c r="J35">
        <v>0</v>
      </c>
      <c r="K35">
        <v>1</v>
      </c>
      <c r="L35">
        <v>211.72</v>
      </c>
      <c r="M35">
        <v>0</v>
      </c>
      <c r="N35" t="b">
        <v>0</v>
      </c>
      <c r="O35" s="1">
        <v>45948</v>
      </c>
      <c r="Q35">
        <f t="shared" si="0"/>
        <v>211.72</v>
      </c>
    </row>
    <row r="36" spans="1:17">
      <c r="A36" t="s">
        <v>16</v>
      </c>
      <c r="B36" t="s">
        <v>27</v>
      </c>
      <c r="C36" t="s">
        <v>81</v>
      </c>
      <c r="D36" t="s">
        <v>84</v>
      </c>
      <c r="G36" t="s">
        <v>20</v>
      </c>
      <c r="H36" t="s">
        <v>21</v>
      </c>
      <c r="I36" t="s">
        <v>22</v>
      </c>
      <c r="J36">
        <v>0</v>
      </c>
      <c r="K36">
        <v>6</v>
      </c>
      <c r="L36">
        <v>478.9</v>
      </c>
      <c r="M36">
        <v>0</v>
      </c>
      <c r="N36" t="b">
        <v>0</v>
      </c>
      <c r="O36" s="1">
        <v>45794</v>
      </c>
      <c r="Q36">
        <f t="shared" si="0"/>
        <v>2873.3999999999996</v>
      </c>
    </row>
    <row r="37" spans="1:17">
      <c r="A37" t="s">
        <v>16</v>
      </c>
      <c r="B37" t="s">
        <v>27</v>
      </c>
      <c r="C37" t="s">
        <v>81</v>
      </c>
      <c r="D37" t="s">
        <v>85</v>
      </c>
      <c r="G37" t="s">
        <v>20</v>
      </c>
      <c r="H37" t="s">
        <v>21</v>
      </c>
      <c r="I37" t="s">
        <v>22</v>
      </c>
      <c r="J37">
        <v>0</v>
      </c>
      <c r="K37">
        <v>4</v>
      </c>
      <c r="L37">
        <v>234.19</v>
      </c>
      <c r="M37">
        <v>0</v>
      </c>
      <c r="N37" t="b">
        <v>0</v>
      </c>
      <c r="O37" s="1">
        <v>45948</v>
      </c>
      <c r="Q37">
        <f t="shared" si="0"/>
        <v>936.76</v>
      </c>
    </row>
    <row r="38" spans="1:17">
      <c r="A38" t="s">
        <v>16</v>
      </c>
      <c r="B38" t="s">
        <v>27</v>
      </c>
      <c r="C38" t="s">
        <v>86</v>
      </c>
      <c r="D38" t="s">
        <v>87</v>
      </c>
      <c r="G38" t="s">
        <v>20</v>
      </c>
      <c r="H38" t="s">
        <v>21</v>
      </c>
      <c r="I38" t="s">
        <v>22</v>
      </c>
      <c r="J38">
        <v>0</v>
      </c>
      <c r="K38">
        <v>1</v>
      </c>
      <c r="L38">
        <v>155.5</v>
      </c>
      <c r="M38">
        <v>0</v>
      </c>
      <c r="N38" t="b">
        <v>0</v>
      </c>
      <c r="O38" s="1">
        <v>45955</v>
      </c>
      <c r="Q38">
        <f t="shared" si="0"/>
        <v>155.5</v>
      </c>
    </row>
    <row r="39" spans="1:17">
      <c r="A39" t="s">
        <v>16</v>
      </c>
      <c r="B39" t="s">
        <v>27</v>
      </c>
      <c r="C39" t="s">
        <v>88</v>
      </c>
      <c r="D39" t="s">
        <v>89</v>
      </c>
      <c r="G39" t="s">
        <v>20</v>
      </c>
      <c r="H39" t="s">
        <v>21</v>
      </c>
      <c r="I39" t="s">
        <v>22</v>
      </c>
      <c r="J39">
        <v>0</v>
      </c>
      <c r="K39">
        <v>1</v>
      </c>
      <c r="L39">
        <v>538.24</v>
      </c>
      <c r="M39">
        <v>0</v>
      </c>
      <c r="N39" t="b">
        <v>0</v>
      </c>
      <c r="O39" s="1">
        <v>45955</v>
      </c>
      <c r="Q39">
        <f t="shared" si="0"/>
        <v>538.24</v>
      </c>
    </row>
    <row r="40" spans="1:17">
      <c r="A40" t="s">
        <v>16</v>
      </c>
      <c r="B40" t="s">
        <v>27</v>
      </c>
      <c r="C40" t="s">
        <v>90</v>
      </c>
      <c r="D40" t="s">
        <v>91</v>
      </c>
      <c r="G40" t="s">
        <v>20</v>
      </c>
      <c r="H40" t="s">
        <v>21</v>
      </c>
      <c r="I40" t="s">
        <v>22</v>
      </c>
      <c r="J40">
        <v>0</v>
      </c>
      <c r="K40">
        <v>3</v>
      </c>
      <c r="L40">
        <v>289.16000000000003</v>
      </c>
      <c r="M40">
        <v>0</v>
      </c>
      <c r="N40" t="b">
        <v>0</v>
      </c>
      <c r="O40" s="1">
        <v>45913</v>
      </c>
      <c r="Q40">
        <f t="shared" si="0"/>
        <v>867.48</v>
      </c>
    </row>
    <row r="41" spans="1:17">
      <c r="A41" t="s">
        <v>16</v>
      </c>
      <c r="B41" t="s">
        <v>27</v>
      </c>
      <c r="C41" t="s">
        <v>90</v>
      </c>
      <c r="D41" t="s">
        <v>92</v>
      </c>
      <c r="G41" t="s">
        <v>20</v>
      </c>
      <c r="H41" t="s">
        <v>21</v>
      </c>
      <c r="I41" t="s">
        <v>22</v>
      </c>
      <c r="J41">
        <v>0</v>
      </c>
      <c r="K41">
        <v>1</v>
      </c>
      <c r="L41">
        <v>287.58999999999997</v>
      </c>
      <c r="M41">
        <v>0</v>
      </c>
      <c r="N41" t="b">
        <v>0</v>
      </c>
      <c r="O41" s="1">
        <v>45955</v>
      </c>
      <c r="Q41">
        <f t="shared" si="0"/>
        <v>287.58999999999997</v>
      </c>
    </row>
    <row r="42" spans="1:17">
      <c r="A42" t="s">
        <v>16</v>
      </c>
      <c r="B42" t="s">
        <v>27</v>
      </c>
      <c r="C42" t="s">
        <v>93</v>
      </c>
      <c r="D42" t="s">
        <v>94</v>
      </c>
      <c r="G42" t="s">
        <v>20</v>
      </c>
      <c r="H42" t="s">
        <v>21</v>
      </c>
      <c r="I42" t="s">
        <v>22</v>
      </c>
      <c r="J42">
        <v>0</v>
      </c>
      <c r="K42">
        <v>1</v>
      </c>
      <c r="L42">
        <v>500.75</v>
      </c>
      <c r="M42">
        <v>0</v>
      </c>
      <c r="N42" t="b">
        <v>0</v>
      </c>
      <c r="O42" s="1">
        <v>45942</v>
      </c>
      <c r="Q42">
        <f t="shared" si="0"/>
        <v>500.75</v>
      </c>
    </row>
    <row r="43" spans="1:17">
      <c r="A43" t="s">
        <v>16</v>
      </c>
      <c r="B43" t="s">
        <v>27</v>
      </c>
      <c r="C43" t="s">
        <v>95</v>
      </c>
      <c r="D43" t="s">
        <v>96</v>
      </c>
      <c r="G43" t="s">
        <v>20</v>
      </c>
      <c r="H43" t="s">
        <v>21</v>
      </c>
      <c r="I43" t="s">
        <v>22</v>
      </c>
      <c r="J43">
        <v>0</v>
      </c>
      <c r="K43">
        <v>5</v>
      </c>
      <c r="L43">
        <v>79.87</v>
      </c>
      <c r="M43">
        <v>0</v>
      </c>
      <c r="N43" t="b">
        <v>0</v>
      </c>
      <c r="O43" s="1">
        <v>45916</v>
      </c>
      <c r="Q43">
        <f t="shared" si="0"/>
        <v>399.35</v>
      </c>
    </row>
    <row r="44" spans="1:17">
      <c r="A44" t="s">
        <v>16</v>
      </c>
      <c r="B44" t="s">
        <v>27</v>
      </c>
      <c r="C44" t="s">
        <v>95</v>
      </c>
      <c r="D44" t="s">
        <v>97</v>
      </c>
      <c r="G44" t="s">
        <v>20</v>
      </c>
      <c r="H44" t="s">
        <v>21</v>
      </c>
      <c r="I44" t="s">
        <v>22</v>
      </c>
      <c r="J44">
        <v>0</v>
      </c>
      <c r="K44">
        <v>1</v>
      </c>
      <c r="L44">
        <v>218.18</v>
      </c>
      <c r="M44">
        <v>0</v>
      </c>
      <c r="N44" t="b">
        <v>0</v>
      </c>
      <c r="O44" s="1">
        <v>45794</v>
      </c>
      <c r="Q44">
        <f t="shared" si="0"/>
        <v>218.18</v>
      </c>
    </row>
    <row r="45" spans="1:17">
      <c r="A45" t="s">
        <v>98</v>
      </c>
      <c r="B45" t="s">
        <v>99</v>
      </c>
      <c r="C45" t="s">
        <v>100</v>
      </c>
      <c r="D45" t="s">
        <v>101</v>
      </c>
      <c r="G45" t="s">
        <v>20</v>
      </c>
      <c r="H45" t="s">
        <v>21</v>
      </c>
      <c r="I45" t="s">
        <v>22</v>
      </c>
      <c r="J45">
        <v>150</v>
      </c>
      <c r="K45">
        <v>1</v>
      </c>
      <c r="L45">
        <v>340.27</v>
      </c>
      <c r="M45">
        <v>0</v>
      </c>
      <c r="N45" t="b">
        <v>0</v>
      </c>
      <c r="O45" s="1">
        <v>46059</v>
      </c>
      <c r="Q45">
        <f t="shared" si="0"/>
        <v>340.27</v>
      </c>
    </row>
    <row r="46" spans="1:17">
      <c r="A46" t="s">
        <v>98</v>
      </c>
      <c r="B46" t="s">
        <v>27</v>
      </c>
      <c r="C46" t="s">
        <v>32</v>
      </c>
      <c r="D46" t="s">
        <v>102</v>
      </c>
      <c r="G46" t="s">
        <v>20</v>
      </c>
      <c r="H46" t="s">
        <v>21</v>
      </c>
      <c r="I46" t="s">
        <v>22</v>
      </c>
      <c r="J46">
        <v>587</v>
      </c>
      <c r="K46">
        <v>1</v>
      </c>
      <c r="L46" s="2">
        <v>1215.22</v>
      </c>
      <c r="M46">
        <v>0</v>
      </c>
      <c r="N46" t="b">
        <v>0</v>
      </c>
      <c r="O46" s="1">
        <v>45896</v>
      </c>
      <c r="Q46">
        <f t="shared" si="0"/>
        <v>1215.22</v>
      </c>
    </row>
    <row r="47" spans="1:17">
      <c r="A47" t="s">
        <v>98</v>
      </c>
      <c r="B47" t="s">
        <v>27</v>
      </c>
      <c r="C47" t="s">
        <v>81</v>
      </c>
      <c r="D47" t="s">
        <v>103</v>
      </c>
      <c r="G47" t="s">
        <v>20</v>
      </c>
      <c r="H47" t="s">
        <v>21</v>
      </c>
      <c r="I47" t="s">
        <v>22</v>
      </c>
      <c r="J47">
        <v>1007</v>
      </c>
      <c r="K47">
        <v>1</v>
      </c>
      <c r="L47" s="3">
        <v>1599</v>
      </c>
      <c r="M47">
        <v>0</v>
      </c>
      <c r="N47" t="b">
        <v>0</v>
      </c>
      <c r="O47" s="1">
        <v>45864</v>
      </c>
      <c r="Q47">
        <f t="shared" si="0"/>
        <v>1599</v>
      </c>
    </row>
    <row r="48" spans="1:17">
      <c r="A48" t="s">
        <v>98</v>
      </c>
      <c r="B48" t="s">
        <v>27</v>
      </c>
      <c r="C48" t="s">
        <v>104</v>
      </c>
      <c r="D48" t="s">
        <v>105</v>
      </c>
      <c r="G48" t="s">
        <v>20</v>
      </c>
      <c r="H48" t="s">
        <v>21</v>
      </c>
      <c r="I48" t="s">
        <v>22</v>
      </c>
      <c r="J48">
        <v>945</v>
      </c>
      <c r="K48">
        <v>1</v>
      </c>
      <c r="L48" s="2">
        <v>2140.2199999999998</v>
      </c>
      <c r="M48">
        <v>0</v>
      </c>
      <c r="N48" t="b">
        <v>0</v>
      </c>
      <c r="O48" s="1">
        <v>45872</v>
      </c>
      <c r="Q48">
        <f t="shared" si="0"/>
        <v>2140.2199999999998</v>
      </c>
    </row>
    <row r="49" spans="1:17">
      <c r="A49" t="s">
        <v>106</v>
      </c>
      <c r="B49" t="s">
        <v>27</v>
      </c>
      <c r="C49" t="s">
        <v>32</v>
      </c>
      <c r="D49" t="s">
        <v>107</v>
      </c>
      <c r="E49" t="s">
        <v>108</v>
      </c>
      <c r="F49" t="s">
        <v>73</v>
      </c>
      <c r="G49" t="s">
        <v>55</v>
      </c>
      <c r="H49" t="s">
        <v>21</v>
      </c>
      <c r="I49" t="s">
        <v>22</v>
      </c>
      <c r="J49">
        <v>0</v>
      </c>
      <c r="K49">
        <v>1</v>
      </c>
      <c r="L49">
        <v>24.87</v>
      </c>
      <c r="M49">
        <v>0</v>
      </c>
      <c r="N49" t="b">
        <v>0</v>
      </c>
      <c r="O49" s="1">
        <v>46032</v>
      </c>
      <c r="Q49">
        <f t="shared" si="0"/>
        <v>24.87</v>
      </c>
    </row>
    <row r="50" spans="1:17">
      <c r="A50" t="s">
        <v>106</v>
      </c>
      <c r="B50" t="s">
        <v>27</v>
      </c>
      <c r="C50" t="s">
        <v>32</v>
      </c>
      <c r="D50" t="s">
        <v>109</v>
      </c>
      <c r="E50" t="s">
        <v>110</v>
      </c>
      <c r="F50" t="s">
        <v>73</v>
      </c>
      <c r="G50" t="s">
        <v>55</v>
      </c>
      <c r="H50" t="s">
        <v>21</v>
      </c>
      <c r="I50" t="s">
        <v>22</v>
      </c>
      <c r="J50">
        <v>0</v>
      </c>
      <c r="K50">
        <v>1</v>
      </c>
      <c r="L50">
        <v>47.91</v>
      </c>
      <c r="M50">
        <v>0</v>
      </c>
      <c r="N50" t="b">
        <v>0</v>
      </c>
      <c r="O50" s="1">
        <v>46032</v>
      </c>
      <c r="Q50">
        <f t="shared" si="0"/>
        <v>47.91</v>
      </c>
    </row>
    <row r="51" spans="1:17">
      <c r="A51" t="s">
        <v>106</v>
      </c>
      <c r="B51" t="s">
        <v>27</v>
      </c>
      <c r="C51" t="s">
        <v>32</v>
      </c>
      <c r="D51" t="s">
        <v>111</v>
      </c>
      <c r="E51" t="s">
        <v>112</v>
      </c>
      <c r="F51" t="s">
        <v>73</v>
      </c>
      <c r="G51" t="s">
        <v>55</v>
      </c>
      <c r="H51" t="s">
        <v>21</v>
      </c>
      <c r="I51" t="s">
        <v>22</v>
      </c>
      <c r="J51">
        <v>0</v>
      </c>
      <c r="K51">
        <v>1</v>
      </c>
      <c r="L51">
        <v>82.81</v>
      </c>
      <c r="M51">
        <v>0</v>
      </c>
      <c r="N51" t="b">
        <v>0</v>
      </c>
      <c r="O51" s="1">
        <v>46032</v>
      </c>
      <c r="Q51">
        <f t="shared" si="0"/>
        <v>82.81</v>
      </c>
    </row>
    <row r="52" spans="1:17">
      <c r="A52" t="s">
        <v>106</v>
      </c>
      <c r="B52" t="s">
        <v>27</v>
      </c>
      <c r="C52" t="s">
        <v>32</v>
      </c>
      <c r="D52" t="s">
        <v>113</v>
      </c>
      <c r="E52" t="s">
        <v>114</v>
      </c>
      <c r="F52" t="s">
        <v>73</v>
      </c>
      <c r="G52" t="s">
        <v>55</v>
      </c>
      <c r="H52" t="s">
        <v>21</v>
      </c>
      <c r="I52" t="s">
        <v>22</v>
      </c>
      <c r="J52">
        <v>0</v>
      </c>
      <c r="K52">
        <v>1</v>
      </c>
      <c r="L52">
        <v>44.06</v>
      </c>
      <c r="M52">
        <v>0</v>
      </c>
      <c r="N52" t="b">
        <v>0</v>
      </c>
      <c r="O52" s="1">
        <v>46032</v>
      </c>
      <c r="Q52">
        <f t="shared" si="0"/>
        <v>44.06</v>
      </c>
    </row>
    <row r="53" spans="1:17">
      <c r="A53" t="s">
        <v>106</v>
      </c>
      <c r="B53" t="s">
        <v>27</v>
      </c>
      <c r="C53" t="s">
        <v>32</v>
      </c>
      <c r="D53" t="s">
        <v>115</v>
      </c>
      <c r="E53" t="s">
        <v>116</v>
      </c>
      <c r="F53" t="s">
        <v>73</v>
      </c>
      <c r="G53" t="s">
        <v>55</v>
      </c>
      <c r="H53" t="s">
        <v>21</v>
      </c>
      <c r="I53" t="s">
        <v>22</v>
      </c>
      <c r="J53">
        <v>0</v>
      </c>
      <c r="K53">
        <v>1</v>
      </c>
      <c r="L53">
        <v>73.52</v>
      </c>
      <c r="M53">
        <v>0</v>
      </c>
      <c r="N53" t="b">
        <v>0</v>
      </c>
      <c r="O53" s="1">
        <v>46032</v>
      </c>
      <c r="Q53">
        <f t="shared" si="0"/>
        <v>73.52</v>
      </c>
    </row>
    <row r="54" spans="1:17">
      <c r="A54" t="s">
        <v>106</v>
      </c>
      <c r="B54" t="s">
        <v>27</v>
      </c>
      <c r="C54" t="s">
        <v>32</v>
      </c>
      <c r="D54" t="s">
        <v>117</v>
      </c>
      <c r="E54" t="s">
        <v>118</v>
      </c>
      <c r="F54" t="s">
        <v>73</v>
      </c>
      <c r="G54" t="s">
        <v>55</v>
      </c>
      <c r="H54" t="s">
        <v>21</v>
      </c>
      <c r="I54" t="s">
        <v>22</v>
      </c>
      <c r="J54">
        <v>0</v>
      </c>
      <c r="K54">
        <v>1</v>
      </c>
      <c r="L54">
        <v>57.31</v>
      </c>
      <c r="M54">
        <v>0</v>
      </c>
      <c r="N54" t="b">
        <v>0</v>
      </c>
      <c r="O54" s="1">
        <v>46032</v>
      </c>
      <c r="Q54">
        <f t="shared" si="0"/>
        <v>57.31</v>
      </c>
    </row>
    <row r="55" spans="1:17">
      <c r="A55" t="s">
        <v>106</v>
      </c>
      <c r="B55" t="s">
        <v>27</v>
      </c>
      <c r="C55" t="s">
        <v>32</v>
      </c>
      <c r="D55" t="s">
        <v>119</v>
      </c>
      <c r="E55" t="s">
        <v>120</v>
      </c>
      <c r="F55" t="s">
        <v>73</v>
      </c>
      <c r="G55" t="s">
        <v>55</v>
      </c>
      <c r="H55" t="s">
        <v>21</v>
      </c>
      <c r="I55" t="s">
        <v>22</v>
      </c>
      <c r="J55">
        <v>0</v>
      </c>
      <c r="K55">
        <v>1</v>
      </c>
      <c r="L55">
        <v>271.81</v>
      </c>
      <c r="M55">
        <v>0</v>
      </c>
      <c r="N55" t="b">
        <v>0</v>
      </c>
      <c r="O55" s="1">
        <v>46032</v>
      </c>
      <c r="Q55">
        <f t="shared" si="0"/>
        <v>271.81</v>
      </c>
    </row>
    <row r="56" spans="1:17">
      <c r="A56" t="s">
        <v>106</v>
      </c>
      <c r="B56" t="s">
        <v>27</v>
      </c>
      <c r="C56" t="s">
        <v>39</v>
      </c>
      <c r="D56" t="s">
        <v>121</v>
      </c>
      <c r="E56" t="s">
        <v>122</v>
      </c>
      <c r="F56" t="s">
        <v>73</v>
      </c>
      <c r="G56" t="s">
        <v>55</v>
      </c>
      <c r="H56" t="s">
        <v>21</v>
      </c>
      <c r="I56" t="s">
        <v>22</v>
      </c>
      <c r="J56">
        <v>0</v>
      </c>
      <c r="K56">
        <v>1</v>
      </c>
      <c r="L56">
        <v>32.630000000000003</v>
      </c>
      <c r="M56">
        <v>0</v>
      </c>
      <c r="N56" t="b">
        <v>0</v>
      </c>
      <c r="O56" s="1">
        <v>46032</v>
      </c>
      <c r="Q56">
        <f t="shared" si="0"/>
        <v>32.630000000000003</v>
      </c>
    </row>
    <row r="57" spans="1:17">
      <c r="A57" t="s">
        <v>106</v>
      </c>
      <c r="B57" t="s">
        <v>27</v>
      </c>
      <c r="C57" t="s">
        <v>39</v>
      </c>
      <c r="D57" t="s">
        <v>123</v>
      </c>
      <c r="E57" t="s">
        <v>124</v>
      </c>
      <c r="F57" t="s">
        <v>73</v>
      </c>
      <c r="G57" t="s">
        <v>55</v>
      </c>
      <c r="H57" t="s">
        <v>21</v>
      </c>
      <c r="I57" t="s">
        <v>22</v>
      </c>
      <c r="J57">
        <v>0</v>
      </c>
      <c r="K57">
        <v>1</v>
      </c>
      <c r="L57">
        <v>290.51</v>
      </c>
      <c r="M57">
        <v>0</v>
      </c>
      <c r="N57" t="b">
        <v>0</v>
      </c>
      <c r="O57" s="1">
        <v>46032</v>
      </c>
      <c r="Q57">
        <f t="shared" si="0"/>
        <v>290.51</v>
      </c>
    </row>
    <row r="58" spans="1:17">
      <c r="A58" t="s">
        <v>106</v>
      </c>
      <c r="B58" t="s">
        <v>27</v>
      </c>
      <c r="C58" t="s">
        <v>39</v>
      </c>
      <c r="D58" t="s">
        <v>125</v>
      </c>
      <c r="E58" t="s">
        <v>126</v>
      </c>
      <c r="F58" t="s">
        <v>73</v>
      </c>
      <c r="G58" t="s">
        <v>55</v>
      </c>
      <c r="H58" t="s">
        <v>21</v>
      </c>
      <c r="I58" t="s">
        <v>22</v>
      </c>
      <c r="J58">
        <v>0</v>
      </c>
      <c r="K58">
        <v>1</v>
      </c>
      <c r="L58">
        <v>48.9</v>
      </c>
      <c r="M58">
        <v>0</v>
      </c>
      <c r="N58" t="b">
        <v>0</v>
      </c>
      <c r="O58" s="1">
        <v>46032</v>
      </c>
      <c r="Q58">
        <f t="shared" si="0"/>
        <v>48.9</v>
      </c>
    </row>
    <row r="59" spans="1:17">
      <c r="A59" t="s">
        <v>106</v>
      </c>
      <c r="B59" t="s">
        <v>27</v>
      </c>
      <c r="C59" t="s">
        <v>39</v>
      </c>
      <c r="D59" t="s">
        <v>127</v>
      </c>
      <c r="E59" t="s">
        <v>128</v>
      </c>
      <c r="F59" t="s">
        <v>73</v>
      </c>
      <c r="G59" t="s">
        <v>55</v>
      </c>
      <c r="H59" t="s">
        <v>21</v>
      </c>
      <c r="I59" t="s">
        <v>22</v>
      </c>
      <c r="J59">
        <v>0</v>
      </c>
      <c r="K59">
        <v>1</v>
      </c>
      <c r="L59">
        <v>199.55</v>
      </c>
      <c r="M59">
        <v>0</v>
      </c>
      <c r="N59" t="b">
        <v>0</v>
      </c>
      <c r="O59" s="1">
        <v>46032</v>
      </c>
      <c r="Q59">
        <f t="shared" si="0"/>
        <v>199.55</v>
      </c>
    </row>
    <row r="60" spans="1:17">
      <c r="A60" t="s">
        <v>106</v>
      </c>
      <c r="B60" t="s">
        <v>27</v>
      </c>
      <c r="C60" t="s">
        <v>39</v>
      </c>
      <c r="D60" t="s">
        <v>129</v>
      </c>
      <c r="E60" t="s">
        <v>130</v>
      </c>
      <c r="F60" t="s">
        <v>73</v>
      </c>
      <c r="G60" t="s">
        <v>55</v>
      </c>
      <c r="H60" t="s">
        <v>21</v>
      </c>
      <c r="I60" t="s">
        <v>22</v>
      </c>
      <c r="J60">
        <v>0</v>
      </c>
      <c r="K60">
        <v>1</v>
      </c>
      <c r="L60">
        <v>29.26</v>
      </c>
      <c r="M60">
        <v>0</v>
      </c>
      <c r="N60" t="b">
        <v>0</v>
      </c>
      <c r="O60" s="1">
        <v>46032</v>
      </c>
      <c r="Q60">
        <f t="shared" si="0"/>
        <v>29.26</v>
      </c>
    </row>
    <row r="61" spans="1:17">
      <c r="A61" t="s">
        <v>106</v>
      </c>
      <c r="B61" t="s">
        <v>27</v>
      </c>
      <c r="C61" t="s">
        <v>39</v>
      </c>
      <c r="D61" t="s">
        <v>131</v>
      </c>
      <c r="E61" t="s">
        <v>132</v>
      </c>
      <c r="F61" t="s">
        <v>73</v>
      </c>
      <c r="G61" t="s">
        <v>55</v>
      </c>
      <c r="H61" t="s">
        <v>21</v>
      </c>
      <c r="I61" t="s">
        <v>22</v>
      </c>
      <c r="J61">
        <v>0</v>
      </c>
      <c r="K61">
        <v>1</v>
      </c>
      <c r="L61">
        <v>78.95</v>
      </c>
      <c r="M61">
        <v>0</v>
      </c>
      <c r="N61" t="b">
        <v>0</v>
      </c>
      <c r="O61" s="1">
        <v>46032</v>
      </c>
      <c r="Q61">
        <f t="shared" si="0"/>
        <v>78.95</v>
      </c>
    </row>
    <row r="62" spans="1:17">
      <c r="A62" t="s">
        <v>106</v>
      </c>
      <c r="B62" t="s">
        <v>27</v>
      </c>
      <c r="C62" t="s">
        <v>39</v>
      </c>
      <c r="D62" t="s">
        <v>133</v>
      </c>
      <c r="E62" t="s">
        <v>134</v>
      </c>
      <c r="F62" t="s">
        <v>73</v>
      </c>
      <c r="G62" t="s">
        <v>55</v>
      </c>
      <c r="H62" t="s">
        <v>21</v>
      </c>
      <c r="I62" t="s">
        <v>22</v>
      </c>
      <c r="J62">
        <v>0</v>
      </c>
      <c r="K62">
        <v>1</v>
      </c>
      <c r="L62">
        <v>35.76</v>
      </c>
      <c r="M62">
        <v>0</v>
      </c>
      <c r="N62" t="b">
        <v>0</v>
      </c>
      <c r="O62" s="1">
        <v>46032</v>
      </c>
      <c r="Q62">
        <f t="shared" si="0"/>
        <v>35.76</v>
      </c>
    </row>
    <row r="63" spans="1:17">
      <c r="A63" t="s">
        <v>106</v>
      </c>
      <c r="B63" t="s">
        <v>27</v>
      </c>
      <c r="C63" t="s">
        <v>39</v>
      </c>
      <c r="D63" t="s">
        <v>135</v>
      </c>
      <c r="E63" t="s">
        <v>136</v>
      </c>
      <c r="F63" t="s">
        <v>73</v>
      </c>
      <c r="G63" t="s">
        <v>55</v>
      </c>
      <c r="H63" t="s">
        <v>21</v>
      </c>
      <c r="I63" t="s">
        <v>22</v>
      </c>
      <c r="J63">
        <v>0</v>
      </c>
      <c r="K63">
        <v>1</v>
      </c>
      <c r="L63">
        <v>558.21</v>
      </c>
      <c r="M63">
        <v>0</v>
      </c>
      <c r="N63" t="b">
        <v>0</v>
      </c>
      <c r="O63" s="1">
        <v>46032</v>
      </c>
      <c r="Q63">
        <f t="shared" si="0"/>
        <v>558.21</v>
      </c>
    </row>
    <row r="64" spans="1:17">
      <c r="A64" t="s">
        <v>106</v>
      </c>
      <c r="B64" t="s">
        <v>27</v>
      </c>
      <c r="C64" t="s">
        <v>39</v>
      </c>
      <c r="D64" t="s">
        <v>137</v>
      </c>
      <c r="E64" t="s">
        <v>138</v>
      </c>
      <c r="F64" t="s">
        <v>73</v>
      </c>
      <c r="G64" t="s">
        <v>55</v>
      </c>
      <c r="H64" t="s">
        <v>21</v>
      </c>
      <c r="I64" t="s">
        <v>22</v>
      </c>
      <c r="J64">
        <v>0</v>
      </c>
      <c r="K64">
        <v>1</v>
      </c>
      <c r="L64">
        <v>125.3</v>
      </c>
      <c r="M64">
        <v>0</v>
      </c>
      <c r="N64" t="b">
        <v>0</v>
      </c>
      <c r="O64" s="1">
        <v>46032</v>
      </c>
      <c r="Q64">
        <f t="shared" si="0"/>
        <v>125.3</v>
      </c>
    </row>
    <row r="65" spans="1:17">
      <c r="A65" t="s">
        <v>106</v>
      </c>
      <c r="B65" t="s">
        <v>27</v>
      </c>
      <c r="C65" t="s">
        <v>39</v>
      </c>
      <c r="D65" t="s">
        <v>139</v>
      </c>
      <c r="E65" t="s">
        <v>140</v>
      </c>
      <c r="F65" t="s">
        <v>73</v>
      </c>
      <c r="G65" t="s">
        <v>55</v>
      </c>
      <c r="H65" t="s">
        <v>21</v>
      </c>
      <c r="I65" t="s">
        <v>22</v>
      </c>
      <c r="J65">
        <v>0</v>
      </c>
      <c r="K65">
        <v>1</v>
      </c>
      <c r="L65">
        <v>131.21</v>
      </c>
      <c r="M65">
        <v>0</v>
      </c>
      <c r="N65" t="b">
        <v>0</v>
      </c>
      <c r="O65" s="1">
        <v>46032</v>
      </c>
      <c r="Q65">
        <f t="shared" si="0"/>
        <v>131.21</v>
      </c>
    </row>
    <row r="66" spans="1:17">
      <c r="A66" t="s">
        <v>106</v>
      </c>
      <c r="B66" t="s">
        <v>27</v>
      </c>
      <c r="C66" t="s">
        <v>39</v>
      </c>
      <c r="D66" t="s">
        <v>141</v>
      </c>
      <c r="E66" t="s">
        <v>142</v>
      </c>
      <c r="F66" t="s">
        <v>73</v>
      </c>
      <c r="G66" t="s">
        <v>55</v>
      </c>
      <c r="H66" t="s">
        <v>21</v>
      </c>
      <c r="I66" t="s">
        <v>22</v>
      </c>
      <c r="J66">
        <v>0</v>
      </c>
      <c r="K66">
        <v>1</v>
      </c>
      <c r="L66">
        <v>27.91</v>
      </c>
      <c r="M66">
        <v>0</v>
      </c>
      <c r="N66" t="b">
        <v>0</v>
      </c>
      <c r="O66" s="1">
        <v>46032</v>
      </c>
      <c r="Q66">
        <f t="shared" si="0"/>
        <v>27.91</v>
      </c>
    </row>
    <row r="67" spans="1:17">
      <c r="A67" t="s">
        <v>106</v>
      </c>
      <c r="B67" t="s">
        <v>27</v>
      </c>
      <c r="C67" t="s">
        <v>46</v>
      </c>
      <c r="D67" t="s">
        <v>143</v>
      </c>
      <c r="E67" t="s">
        <v>144</v>
      </c>
      <c r="F67" t="s">
        <v>73</v>
      </c>
      <c r="G67" t="s">
        <v>55</v>
      </c>
      <c r="H67" t="s">
        <v>21</v>
      </c>
      <c r="I67" t="s">
        <v>22</v>
      </c>
      <c r="J67">
        <v>0</v>
      </c>
      <c r="K67">
        <v>1</v>
      </c>
      <c r="L67">
        <v>37.68</v>
      </c>
      <c r="M67">
        <v>0</v>
      </c>
      <c r="N67" t="b">
        <v>0</v>
      </c>
      <c r="O67" s="1">
        <v>46032</v>
      </c>
      <c r="Q67">
        <f t="shared" ref="Q67:Q130" si="1">K67*L67</f>
        <v>37.68</v>
      </c>
    </row>
    <row r="68" spans="1:17">
      <c r="A68" t="s">
        <v>106</v>
      </c>
      <c r="B68" t="s">
        <v>27</v>
      </c>
      <c r="C68" t="s">
        <v>46</v>
      </c>
      <c r="D68" t="s">
        <v>145</v>
      </c>
      <c r="E68" t="s">
        <v>146</v>
      </c>
      <c r="F68" t="s">
        <v>73</v>
      </c>
      <c r="G68" t="s">
        <v>55</v>
      </c>
      <c r="H68" t="s">
        <v>21</v>
      </c>
      <c r="I68" t="s">
        <v>22</v>
      </c>
      <c r="J68">
        <v>0</v>
      </c>
      <c r="K68">
        <v>1</v>
      </c>
      <c r="L68">
        <v>45.83</v>
      </c>
      <c r="M68">
        <v>0</v>
      </c>
      <c r="N68" t="b">
        <v>0</v>
      </c>
      <c r="O68" s="1">
        <v>46032</v>
      </c>
      <c r="Q68">
        <f t="shared" si="1"/>
        <v>45.83</v>
      </c>
    </row>
    <row r="69" spans="1:17">
      <c r="A69" t="s">
        <v>106</v>
      </c>
      <c r="B69" t="s">
        <v>27</v>
      </c>
      <c r="C69" t="s">
        <v>46</v>
      </c>
      <c r="D69" t="s">
        <v>147</v>
      </c>
      <c r="E69" t="s">
        <v>148</v>
      </c>
      <c r="F69" t="s">
        <v>73</v>
      </c>
      <c r="G69" t="s">
        <v>55</v>
      </c>
      <c r="H69" t="s">
        <v>21</v>
      </c>
      <c r="I69" t="s">
        <v>22</v>
      </c>
      <c r="J69">
        <v>0</v>
      </c>
      <c r="K69">
        <v>1</v>
      </c>
      <c r="L69">
        <v>127.64</v>
      </c>
      <c r="M69">
        <v>0</v>
      </c>
      <c r="N69" t="b">
        <v>0</v>
      </c>
      <c r="O69" s="1">
        <v>46032</v>
      </c>
      <c r="Q69">
        <f t="shared" si="1"/>
        <v>127.64</v>
      </c>
    </row>
    <row r="70" spans="1:17">
      <c r="A70" t="s">
        <v>106</v>
      </c>
      <c r="B70" t="s">
        <v>27</v>
      </c>
      <c r="C70" t="s">
        <v>46</v>
      </c>
      <c r="D70" t="s">
        <v>149</v>
      </c>
      <c r="E70" t="s">
        <v>150</v>
      </c>
      <c r="F70" t="s">
        <v>73</v>
      </c>
      <c r="G70" t="s">
        <v>55</v>
      </c>
      <c r="H70" t="s">
        <v>21</v>
      </c>
      <c r="I70" t="s">
        <v>22</v>
      </c>
      <c r="J70">
        <v>0</v>
      </c>
      <c r="K70">
        <v>1</v>
      </c>
      <c r="L70">
        <v>53.96</v>
      </c>
      <c r="M70">
        <v>0</v>
      </c>
      <c r="N70" t="b">
        <v>0</v>
      </c>
      <c r="O70" s="1">
        <v>46032</v>
      </c>
      <c r="Q70">
        <f t="shared" si="1"/>
        <v>53.96</v>
      </c>
    </row>
    <row r="71" spans="1:17">
      <c r="A71" t="s">
        <v>106</v>
      </c>
      <c r="B71" t="s">
        <v>27</v>
      </c>
      <c r="C71" t="s">
        <v>46</v>
      </c>
      <c r="D71" t="s">
        <v>151</v>
      </c>
      <c r="E71" t="s">
        <v>152</v>
      </c>
      <c r="F71" t="s">
        <v>73</v>
      </c>
      <c r="G71" t="s">
        <v>55</v>
      </c>
      <c r="H71" t="s">
        <v>21</v>
      </c>
      <c r="I71" t="s">
        <v>22</v>
      </c>
      <c r="J71">
        <v>0</v>
      </c>
      <c r="K71">
        <v>1</v>
      </c>
      <c r="L71">
        <v>70.81</v>
      </c>
      <c r="M71">
        <v>0</v>
      </c>
      <c r="N71" t="b">
        <v>0</v>
      </c>
      <c r="O71" s="1">
        <v>46032</v>
      </c>
      <c r="Q71">
        <f t="shared" si="1"/>
        <v>70.81</v>
      </c>
    </row>
    <row r="72" spans="1:17">
      <c r="A72" t="s">
        <v>106</v>
      </c>
      <c r="B72" t="s">
        <v>27</v>
      </c>
      <c r="C72" t="s">
        <v>46</v>
      </c>
      <c r="D72" t="s">
        <v>153</v>
      </c>
      <c r="E72" t="s">
        <v>154</v>
      </c>
      <c r="F72" t="s">
        <v>73</v>
      </c>
      <c r="G72" t="s">
        <v>55</v>
      </c>
      <c r="H72" t="s">
        <v>21</v>
      </c>
      <c r="I72" t="s">
        <v>22</v>
      </c>
      <c r="J72">
        <v>0</v>
      </c>
      <c r="K72">
        <v>1</v>
      </c>
      <c r="L72">
        <v>22.01</v>
      </c>
      <c r="M72">
        <v>0</v>
      </c>
      <c r="N72" t="b">
        <v>0</v>
      </c>
      <c r="O72" s="1">
        <v>46032</v>
      </c>
      <c r="Q72">
        <f t="shared" si="1"/>
        <v>22.01</v>
      </c>
    </row>
    <row r="73" spans="1:17">
      <c r="A73" t="s">
        <v>106</v>
      </c>
      <c r="B73" t="s">
        <v>27</v>
      </c>
      <c r="C73" t="s">
        <v>155</v>
      </c>
      <c r="D73" t="s">
        <v>156</v>
      </c>
      <c r="E73" t="s">
        <v>157</v>
      </c>
      <c r="F73" t="s">
        <v>73</v>
      </c>
      <c r="G73" t="s">
        <v>55</v>
      </c>
      <c r="H73" t="s">
        <v>21</v>
      </c>
      <c r="I73" t="s">
        <v>22</v>
      </c>
      <c r="J73">
        <v>0</v>
      </c>
      <c r="K73">
        <v>1</v>
      </c>
      <c r="L73">
        <v>122.83</v>
      </c>
      <c r="M73">
        <v>0</v>
      </c>
      <c r="N73" t="b">
        <v>0</v>
      </c>
      <c r="O73" s="1">
        <v>46032</v>
      </c>
      <c r="Q73">
        <f t="shared" si="1"/>
        <v>122.83</v>
      </c>
    </row>
    <row r="74" spans="1:17">
      <c r="A74" t="s">
        <v>106</v>
      </c>
      <c r="B74" t="s">
        <v>27</v>
      </c>
      <c r="C74" t="s">
        <v>155</v>
      </c>
      <c r="D74" t="s">
        <v>158</v>
      </c>
      <c r="E74" t="s">
        <v>159</v>
      </c>
      <c r="F74" t="s">
        <v>73</v>
      </c>
      <c r="G74" t="s">
        <v>55</v>
      </c>
      <c r="H74" t="s">
        <v>21</v>
      </c>
      <c r="I74" t="s">
        <v>22</v>
      </c>
      <c r="J74">
        <v>0</v>
      </c>
      <c r="K74">
        <v>1</v>
      </c>
      <c r="L74">
        <v>9.7799999999999994</v>
      </c>
      <c r="M74">
        <v>0</v>
      </c>
      <c r="N74" t="b">
        <v>0</v>
      </c>
      <c r="O74" s="1">
        <v>46032</v>
      </c>
      <c r="Q74">
        <f t="shared" si="1"/>
        <v>9.7799999999999994</v>
      </c>
    </row>
    <row r="75" spans="1:17">
      <c r="A75" t="s">
        <v>106</v>
      </c>
      <c r="B75" t="s">
        <v>27</v>
      </c>
      <c r="C75" t="s">
        <v>155</v>
      </c>
      <c r="D75" t="s">
        <v>160</v>
      </c>
      <c r="E75" t="s">
        <v>161</v>
      </c>
      <c r="F75" t="s">
        <v>73</v>
      </c>
      <c r="G75" t="s">
        <v>55</v>
      </c>
      <c r="H75" t="s">
        <v>21</v>
      </c>
      <c r="I75" t="s">
        <v>22</v>
      </c>
      <c r="J75">
        <v>0</v>
      </c>
      <c r="K75">
        <v>1</v>
      </c>
      <c r="L75">
        <v>3.38</v>
      </c>
      <c r="M75">
        <v>0</v>
      </c>
      <c r="N75" t="b">
        <v>0</v>
      </c>
      <c r="O75" s="1">
        <v>46032</v>
      </c>
      <c r="Q75">
        <f t="shared" si="1"/>
        <v>3.38</v>
      </c>
    </row>
    <row r="76" spans="1:17">
      <c r="A76" t="s">
        <v>106</v>
      </c>
      <c r="B76" t="s">
        <v>27</v>
      </c>
      <c r="C76" t="s">
        <v>155</v>
      </c>
      <c r="D76" t="s">
        <v>162</v>
      </c>
      <c r="E76" t="s">
        <v>163</v>
      </c>
      <c r="F76" t="s">
        <v>73</v>
      </c>
      <c r="G76" t="s">
        <v>55</v>
      </c>
      <c r="H76" t="s">
        <v>21</v>
      </c>
      <c r="I76" t="s">
        <v>22</v>
      </c>
      <c r="J76">
        <v>0</v>
      </c>
      <c r="K76">
        <v>1</v>
      </c>
      <c r="L76">
        <v>24.77</v>
      </c>
      <c r="M76">
        <v>0</v>
      </c>
      <c r="N76" t="b">
        <v>0</v>
      </c>
      <c r="O76" s="1">
        <v>46032</v>
      </c>
      <c r="Q76">
        <f t="shared" si="1"/>
        <v>24.77</v>
      </c>
    </row>
    <row r="77" spans="1:17">
      <c r="A77" t="s">
        <v>106</v>
      </c>
      <c r="B77" t="s">
        <v>27</v>
      </c>
      <c r="C77" t="s">
        <v>155</v>
      </c>
      <c r="D77" t="s">
        <v>164</v>
      </c>
      <c r="E77" t="s">
        <v>165</v>
      </c>
      <c r="F77" t="s">
        <v>73</v>
      </c>
      <c r="G77" t="s">
        <v>55</v>
      </c>
      <c r="H77" t="s">
        <v>21</v>
      </c>
      <c r="I77" t="s">
        <v>22</v>
      </c>
      <c r="J77">
        <v>0</v>
      </c>
      <c r="K77">
        <v>1</v>
      </c>
      <c r="L77">
        <v>3.71</v>
      </c>
      <c r="M77">
        <v>0</v>
      </c>
      <c r="N77" t="b">
        <v>0</v>
      </c>
      <c r="O77" s="1">
        <v>46032</v>
      </c>
      <c r="Q77">
        <f t="shared" si="1"/>
        <v>3.71</v>
      </c>
    </row>
    <row r="78" spans="1:17">
      <c r="A78" t="s">
        <v>106</v>
      </c>
      <c r="B78" t="s">
        <v>27</v>
      </c>
      <c r="C78" t="s">
        <v>155</v>
      </c>
      <c r="D78" t="s">
        <v>166</v>
      </c>
      <c r="E78" t="s">
        <v>167</v>
      </c>
      <c r="F78" t="s">
        <v>73</v>
      </c>
      <c r="G78" t="s">
        <v>55</v>
      </c>
      <c r="H78" t="s">
        <v>21</v>
      </c>
      <c r="I78" t="s">
        <v>22</v>
      </c>
      <c r="J78">
        <v>0</v>
      </c>
      <c r="K78">
        <v>1</v>
      </c>
      <c r="L78">
        <v>6.52</v>
      </c>
      <c r="M78">
        <v>0</v>
      </c>
      <c r="N78" t="b">
        <v>0</v>
      </c>
      <c r="O78" s="1">
        <v>46032</v>
      </c>
      <c r="Q78">
        <f t="shared" si="1"/>
        <v>6.52</v>
      </c>
    </row>
    <row r="79" spans="1:17">
      <c r="A79" t="s">
        <v>106</v>
      </c>
      <c r="B79" t="s">
        <v>27</v>
      </c>
      <c r="C79" t="s">
        <v>66</v>
      </c>
      <c r="D79" t="s">
        <v>168</v>
      </c>
      <c r="E79" t="s">
        <v>169</v>
      </c>
      <c r="F79" t="s">
        <v>73</v>
      </c>
      <c r="G79" t="s">
        <v>55</v>
      </c>
      <c r="H79" t="s">
        <v>21</v>
      </c>
      <c r="I79" t="s">
        <v>22</v>
      </c>
      <c r="J79">
        <v>0</v>
      </c>
      <c r="K79">
        <v>1</v>
      </c>
      <c r="L79">
        <v>20.76</v>
      </c>
      <c r="M79">
        <v>0</v>
      </c>
      <c r="N79" t="b">
        <v>0</v>
      </c>
      <c r="O79" s="1">
        <v>46032</v>
      </c>
      <c r="Q79">
        <f t="shared" si="1"/>
        <v>20.76</v>
      </c>
    </row>
    <row r="80" spans="1:17">
      <c r="A80" t="s">
        <v>106</v>
      </c>
      <c r="B80" t="s">
        <v>27</v>
      </c>
      <c r="C80" t="s">
        <v>66</v>
      </c>
      <c r="D80" t="s">
        <v>170</v>
      </c>
      <c r="E80" t="s">
        <v>171</v>
      </c>
      <c r="F80" t="s">
        <v>73</v>
      </c>
      <c r="G80" t="s">
        <v>55</v>
      </c>
      <c r="H80" t="s">
        <v>21</v>
      </c>
      <c r="I80" t="s">
        <v>22</v>
      </c>
      <c r="J80">
        <v>0</v>
      </c>
      <c r="K80">
        <v>1</v>
      </c>
      <c r="L80">
        <v>30.79</v>
      </c>
      <c r="M80">
        <v>0</v>
      </c>
      <c r="N80" t="b">
        <v>0</v>
      </c>
      <c r="O80" s="1">
        <v>46032</v>
      </c>
      <c r="Q80">
        <f t="shared" si="1"/>
        <v>30.79</v>
      </c>
    </row>
    <row r="81" spans="1:17">
      <c r="A81" t="s">
        <v>106</v>
      </c>
      <c r="B81" t="s">
        <v>27</v>
      </c>
      <c r="C81" t="s">
        <v>66</v>
      </c>
      <c r="D81" t="s">
        <v>172</v>
      </c>
      <c r="E81" t="s">
        <v>173</v>
      </c>
      <c r="F81" t="s">
        <v>73</v>
      </c>
      <c r="G81" t="s">
        <v>55</v>
      </c>
      <c r="H81" t="s">
        <v>21</v>
      </c>
      <c r="I81" t="s">
        <v>22</v>
      </c>
      <c r="J81">
        <v>0</v>
      </c>
      <c r="K81">
        <v>1</v>
      </c>
      <c r="L81">
        <v>54.78</v>
      </c>
      <c r="M81">
        <v>0</v>
      </c>
      <c r="N81" t="b">
        <v>0</v>
      </c>
      <c r="O81" s="1">
        <v>46032</v>
      </c>
      <c r="Q81">
        <f t="shared" si="1"/>
        <v>54.78</v>
      </c>
    </row>
    <row r="82" spans="1:17">
      <c r="A82" t="s">
        <v>106</v>
      </c>
      <c r="B82" t="s">
        <v>27</v>
      </c>
      <c r="C82" t="s">
        <v>66</v>
      </c>
      <c r="D82" t="s">
        <v>174</v>
      </c>
      <c r="E82" t="s">
        <v>175</v>
      </c>
      <c r="F82" t="s">
        <v>73</v>
      </c>
      <c r="G82" t="s">
        <v>55</v>
      </c>
      <c r="H82" t="s">
        <v>21</v>
      </c>
      <c r="I82" t="s">
        <v>22</v>
      </c>
      <c r="J82">
        <v>0</v>
      </c>
      <c r="K82">
        <v>1</v>
      </c>
      <c r="L82">
        <v>11.33</v>
      </c>
      <c r="M82">
        <v>0</v>
      </c>
      <c r="N82" t="b">
        <v>0</v>
      </c>
      <c r="O82" s="1">
        <v>46032</v>
      </c>
      <c r="Q82">
        <f t="shared" si="1"/>
        <v>11.33</v>
      </c>
    </row>
    <row r="83" spans="1:17">
      <c r="A83" t="s">
        <v>106</v>
      </c>
      <c r="B83" t="s">
        <v>27</v>
      </c>
      <c r="C83" t="s">
        <v>66</v>
      </c>
      <c r="D83" t="s">
        <v>176</v>
      </c>
      <c r="E83" t="s">
        <v>177</v>
      </c>
      <c r="F83" t="s">
        <v>73</v>
      </c>
      <c r="G83" t="s">
        <v>55</v>
      </c>
      <c r="H83" t="s">
        <v>21</v>
      </c>
      <c r="I83" t="s">
        <v>22</v>
      </c>
      <c r="J83">
        <v>0</v>
      </c>
      <c r="K83">
        <v>1</v>
      </c>
      <c r="L83">
        <v>5.33</v>
      </c>
      <c r="M83">
        <v>0</v>
      </c>
      <c r="N83" t="b">
        <v>0</v>
      </c>
      <c r="O83" s="1">
        <v>46032</v>
      </c>
      <c r="Q83">
        <f t="shared" si="1"/>
        <v>5.33</v>
      </c>
    </row>
    <row r="84" spans="1:17">
      <c r="A84" t="s">
        <v>106</v>
      </c>
      <c r="B84" t="s">
        <v>27</v>
      </c>
      <c r="C84" t="s">
        <v>66</v>
      </c>
      <c r="D84" t="s">
        <v>178</v>
      </c>
      <c r="E84" t="s">
        <v>179</v>
      </c>
      <c r="F84" t="s">
        <v>73</v>
      </c>
      <c r="G84" t="s">
        <v>55</v>
      </c>
      <c r="H84" t="s">
        <v>21</v>
      </c>
      <c r="I84" t="s">
        <v>22</v>
      </c>
      <c r="J84">
        <v>0</v>
      </c>
      <c r="K84">
        <v>1</v>
      </c>
      <c r="L84">
        <v>20.84</v>
      </c>
      <c r="M84">
        <v>0</v>
      </c>
      <c r="N84" t="b">
        <v>0</v>
      </c>
      <c r="O84" s="1">
        <v>46032</v>
      </c>
      <c r="Q84">
        <f t="shared" si="1"/>
        <v>20.84</v>
      </c>
    </row>
    <row r="85" spans="1:17">
      <c r="A85" t="s">
        <v>106</v>
      </c>
      <c r="B85" t="s">
        <v>27</v>
      </c>
      <c r="C85" t="s">
        <v>66</v>
      </c>
      <c r="D85" t="s">
        <v>180</v>
      </c>
      <c r="E85" t="s">
        <v>181</v>
      </c>
      <c r="F85" t="s">
        <v>73</v>
      </c>
      <c r="G85" t="s">
        <v>55</v>
      </c>
      <c r="H85" t="s">
        <v>21</v>
      </c>
      <c r="I85" t="s">
        <v>22</v>
      </c>
      <c r="J85">
        <v>0</v>
      </c>
      <c r="K85">
        <v>1</v>
      </c>
      <c r="L85">
        <v>70.36</v>
      </c>
      <c r="M85">
        <v>0</v>
      </c>
      <c r="N85" t="b">
        <v>0</v>
      </c>
      <c r="O85" s="1">
        <v>46032</v>
      </c>
      <c r="Q85">
        <f t="shared" si="1"/>
        <v>70.36</v>
      </c>
    </row>
    <row r="86" spans="1:17">
      <c r="A86" t="s">
        <v>106</v>
      </c>
      <c r="B86" t="s">
        <v>27</v>
      </c>
      <c r="C86" t="s">
        <v>66</v>
      </c>
      <c r="D86" t="s">
        <v>182</v>
      </c>
      <c r="E86" t="s">
        <v>183</v>
      </c>
      <c r="F86" t="s">
        <v>73</v>
      </c>
      <c r="G86" t="s">
        <v>55</v>
      </c>
      <c r="H86" t="s">
        <v>21</v>
      </c>
      <c r="I86" t="s">
        <v>22</v>
      </c>
      <c r="J86">
        <v>0</v>
      </c>
      <c r="K86">
        <v>1</v>
      </c>
      <c r="L86">
        <v>36.96</v>
      </c>
      <c r="M86">
        <v>0</v>
      </c>
      <c r="N86" t="b">
        <v>0</v>
      </c>
      <c r="O86" s="1">
        <v>46032</v>
      </c>
      <c r="Q86">
        <f t="shared" si="1"/>
        <v>36.96</v>
      </c>
    </row>
    <row r="87" spans="1:17">
      <c r="A87" t="s">
        <v>106</v>
      </c>
      <c r="B87" t="s">
        <v>27</v>
      </c>
      <c r="C87" t="s">
        <v>66</v>
      </c>
      <c r="D87" t="s">
        <v>184</v>
      </c>
      <c r="E87" t="s">
        <v>185</v>
      </c>
      <c r="F87" t="s">
        <v>73</v>
      </c>
      <c r="G87" t="s">
        <v>55</v>
      </c>
      <c r="H87" t="s">
        <v>21</v>
      </c>
      <c r="I87" t="s">
        <v>22</v>
      </c>
      <c r="J87">
        <v>0</v>
      </c>
      <c r="K87">
        <v>1</v>
      </c>
      <c r="L87">
        <v>15.25</v>
      </c>
      <c r="M87">
        <v>0</v>
      </c>
      <c r="N87" t="b">
        <v>0</v>
      </c>
      <c r="O87" s="1">
        <v>46032</v>
      </c>
      <c r="Q87">
        <f t="shared" si="1"/>
        <v>15.25</v>
      </c>
    </row>
    <row r="88" spans="1:17">
      <c r="A88" t="s">
        <v>106</v>
      </c>
      <c r="B88" t="s">
        <v>27</v>
      </c>
      <c r="C88" t="s">
        <v>66</v>
      </c>
      <c r="D88" t="s">
        <v>186</v>
      </c>
      <c r="E88" t="s">
        <v>187</v>
      </c>
      <c r="F88" t="s">
        <v>73</v>
      </c>
      <c r="G88" t="s">
        <v>55</v>
      </c>
      <c r="H88" t="s">
        <v>21</v>
      </c>
      <c r="I88" t="s">
        <v>22</v>
      </c>
      <c r="J88">
        <v>0</v>
      </c>
      <c r="K88">
        <v>1</v>
      </c>
      <c r="L88">
        <v>15.45</v>
      </c>
      <c r="M88">
        <v>0</v>
      </c>
      <c r="N88" t="b">
        <v>0</v>
      </c>
      <c r="O88" s="1">
        <v>46032</v>
      </c>
      <c r="Q88">
        <f t="shared" si="1"/>
        <v>15.45</v>
      </c>
    </row>
    <row r="89" spans="1:17">
      <c r="A89" t="s">
        <v>106</v>
      </c>
      <c r="B89" t="s">
        <v>27</v>
      </c>
      <c r="C89" t="s">
        <v>66</v>
      </c>
      <c r="D89" t="s">
        <v>188</v>
      </c>
      <c r="E89" t="s">
        <v>189</v>
      </c>
      <c r="F89" t="s">
        <v>73</v>
      </c>
      <c r="G89" t="s">
        <v>55</v>
      </c>
      <c r="H89" t="s">
        <v>21</v>
      </c>
      <c r="I89" t="s">
        <v>22</v>
      </c>
      <c r="J89">
        <v>0</v>
      </c>
      <c r="K89">
        <v>1</v>
      </c>
      <c r="L89">
        <v>39.049999999999997</v>
      </c>
      <c r="M89">
        <v>0</v>
      </c>
      <c r="N89" t="b">
        <v>0</v>
      </c>
      <c r="O89" s="1">
        <v>46032</v>
      </c>
      <c r="Q89">
        <f t="shared" si="1"/>
        <v>39.049999999999997</v>
      </c>
    </row>
    <row r="90" spans="1:17">
      <c r="A90" t="s">
        <v>106</v>
      </c>
      <c r="B90" t="s">
        <v>27</v>
      </c>
      <c r="C90" t="s">
        <v>66</v>
      </c>
      <c r="D90" t="s">
        <v>190</v>
      </c>
      <c r="E90" t="s">
        <v>191</v>
      </c>
      <c r="F90" t="s">
        <v>73</v>
      </c>
      <c r="G90" t="s">
        <v>55</v>
      </c>
      <c r="H90" t="s">
        <v>21</v>
      </c>
      <c r="I90" t="s">
        <v>22</v>
      </c>
      <c r="J90">
        <v>0</v>
      </c>
      <c r="K90">
        <v>1</v>
      </c>
      <c r="L90">
        <v>11.94</v>
      </c>
      <c r="M90">
        <v>0</v>
      </c>
      <c r="N90" t="b">
        <v>0</v>
      </c>
      <c r="O90" s="1">
        <v>46032</v>
      </c>
      <c r="Q90">
        <f t="shared" si="1"/>
        <v>11.94</v>
      </c>
    </row>
    <row r="91" spans="1:17">
      <c r="A91" t="s">
        <v>106</v>
      </c>
      <c r="B91" t="s">
        <v>27</v>
      </c>
      <c r="C91" t="s">
        <v>66</v>
      </c>
      <c r="D91" t="s">
        <v>192</v>
      </c>
      <c r="E91" t="s">
        <v>193</v>
      </c>
      <c r="F91" t="s">
        <v>73</v>
      </c>
      <c r="G91" t="s">
        <v>55</v>
      </c>
      <c r="H91" t="s">
        <v>21</v>
      </c>
      <c r="I91" t="s">
        <v>22</v>
      </c>
      <c r="J91">
        <v>0</v>
      </c>
      <c r="K91">
        <v>1</v>
      </c>
      <c r="L91">
        <v>12.1</v>
      </c>
      <c r="M91">
        <v>0</v>
      </c>
      <c r="N91" t="b">
        <v>0</v>
      </c>
      <c r="O91" s="1">
        <v>46032</v>
      </c>
      <c r="Q91">
        <f t="shared" si="1"/>
        <v>12.1</v>
      </c>
    </row>
    <row r="92" spans="1:17">
      <c r="A92" t="s">
        <v>106</v>
      </c>
      <c r="B92" t="s">
        <v>27</v>
      </c>
      <c r="C92" t="s">
        <v>66</v>
      </c>
      <c r="D92" t="s">
        <v>194</v>
      </c>
      <c r="E92" t="s">
        <v>195</v>
      </c>
      <c r="F92" t="s">
        <v>73</v>
      </c>
      <c r="G92" t="s">
        <v>55</v>
      </c>
      <c r="H92" t="s">
        <v>21</v>
      </c>
      <c r="I92" t="s">
        <v>22</v>
      </c>
      <c r="J92">
        <v>0</v>
      </c>
      <c r="K92">
        <v>1</v>
      </c>
      <c r="L92">
        <v>61.71</v>
      </c>
      <c r="M92">
        <v>0</v>
      </c>
      <c r="N92" t="b">
        <v>0</v>
      </c>
      <c r="O92" s="1">
        <v>46032</v>
      </c>
      <c r="Q92">
        <f t="shared" si="1"/>
        <v>61.71</v>
      </c>
    </row>
    <row r="93" spans="1:17">
      <c r="A93" t="s">
        <v>106</v>
      </c>
      <c r="B93" t="s">
        <v>27</v>
      </c>
      <c r="C93" t="s">
        <v>66</v>
      </c>
      <c r="D93" t="s">
        <v>196</v>
      </c>
      <c r="E93" t="s">
        <v>197</v>
      </c>
      <c r="F93" t="s">
        <v>73</v>
      </c>
      <c r="G93" t="s">
        <v>55</v>
      </c>
      <c r="H93" t="s">
        <v>21</v>
      </c>
      <c r="I93" t="s">
        <v>22</v>
      </c>
      <c r="J93">
        <v>0</v>
      </c>
      <c r="K93">
        <v>1</v>
      </c>
      <c r="L93">
        <v>17.57</v>
      </c>
      <c r="M93">
        <v>0</v>
      </c>
      <c r="N93" t="b">
        <v>0</v>
      </c>
      <c r="O93" s="1">
        <v>46032</v>
      </c>
      <c r="Q93">
        <f t="shared" si="1"/>
        <v>17.57</v>
      </c>
    </row>
    <row r="94" spans="1:17">
      <c r="A94" t="s">
        <v>106</v>
      </c>
      <c r="B94" t="s">
        <v>27</v>
      </c>
      <c r="C94" t="s">
        <v>198</v>
      </c>
      <c r="D94" t="s">
        <v>199</v>
      </c>
      <c r="E94" t="s">
        <v>200</v>
      </c>
      <c r="F94" t="s">
        <v>73</v>
      </c>
      <c r="G94" t="s">
        <v>55</v>
      </c>
      <c r="H94" t="s">
        <v>21</v>
      </c>
      <c r="I94" t="s">
        <v>22</v>
      </c>
      <c r="J94">
        <v>0</v>
      </c>
      <c r="K94">
        <v>1</v>
      </c>
      <c r="L94">
        <v>9.9600000000000009</v>
      </c>
      <c r="M94">
        <v>0</v>
      </c>
      <c r="N94" t="b">
        <v>0</v>
      </c>
      <c r="O94" s="1">
        <v>46032</v>
      </c>
      <c r="Q94">
        <f t="shared" si="1"/>
        <v>9.9600000000000009</v>
      </c>
    </row>
    <row r="95" spans="1:17">
      <c r="A95" t="s">
        <v>106</v>
      </c>
      <c r="B95" t="s">
        <v>27</v>
      </c>
      <c r="C95" t="s">
        <v>198</v>
      </c>
      <c r="D95" t="s">
        <v>156</v>
      </c>
      <c r="E95" t="s">
        <v>201</v>
      </c>
      <c r="F95" t="s">
        <v>73</v>
      </c>
      <c r="G95" t="s">
        <v>55</v>
      </c>
      <c r="H95" t="s">
        <v>21</v>
      </c>
      <c r="I95" t="s">
        <v>22</v>
      </c>
      <c r="J95">
        <v>0</v>
      </c>
      <c r="K95">
        <v>1</v>
      </c>
      <c r="L95">
        <v>336.53</v>
      </c>
      <c r="M95">
        <v>0</v>
      </c>
      <c r="N95" t="b">
        <v>0</v>
      </c>
      <c r="O95" s="1">
        <v>46032</v>
      </c>
      <c r="Q95">
        <f t="shared" si="1"/>
        <v>336.53</v>
      </c>
    </row>
    <row r="96" spans="1:17">
      <c r="A96" t="s">
        <v>106</v>
      </c>
      <c r="B96" t="s">
        <v>27</v>
      </c>
      <c r="C96" t="s">
        <v>198</v>
      </c>
      <c r="D96" t="s">
        <v>202</v>
      </c>
      <c r="E96" t="s">
        <v>203</v>
      </c>
      <c r="F96" t="s">
        <v>73</v>
      </c>
      <c r="G96" t="s">
        <v>55</v>
      </c>
      <c r="H96" t="s">
        <v>21</v>
      </c>
      <c r="I96" t="s">
        <v>22</v>
      </c>
      <c r="J96">
        <v>0</v>
      </c>
      <c r="K96">
        <v>1</v>
      </c>
      <c r="L96">
        <v>30.55</v>
      </c>
      <c r="M96">
        <v>0</v>
      </c>
      <c r="N96" t="b">
        <v>0</v>
      </c>
      <c r="O96" s="1">
        <v>46032</v>
      </c>
      <c r="Q96">
        <f t="shared" si="1"/>
        <v>30.55</v>
      </c>
    </row>
    <row r="97" spans="1:17">
      <c r="A97" t="s">
        <v>106</v>
      </c>
      <c r="B97" t="s">
        <v>27</v>
      </c>
      <c r="C97" t="s">
        <v>198</v>
      </c>
      <c r="D97" t="s">
        <v>204</v>
      </c>
      <c r="E97" t="s">
        <v>205</v>
      </c>
      <c r="F97" t="s">
        <v>73</v>
      </c>
      <c r="G97" t="s">
        <v>55</v>
      </c>
      <c r="H97" t="s">
        <v>21</v>
      </c>
      <c r="I97" t="s">
        <v>22</v>
      </c>
      <c r="J97">
        <v>0</v>
      </c>
      <c r="K97">
        <v>1</v>
      </c>
      <c r="L97">
        <v>205.4</v>
      </c>
      <c r="M97">
        <v>0</v>
      </c>
      <c r="N97" t="b">
        <v>0</v>
      </c>
      <c r="O97" s="1">
        <v>46032</v>
      </c>
      <c r="Q97">
        <f t="shared" si="1"/>
        <v>205.4</v>
      </c>
    </row>
    <row r="98" spans="1:17">
      <c r="A98" t="s">
        <v>106</v>
      </c>
      <c r="B98" t="s">
        <v>27</v>
      </c>
      <c r="C98" t="s">
        <v>198</v>
      </c>
      <c r="D98" t="s">
        <v>206</v>
      </c>
      <c r="E98" t="s">
        <v>207</v>
      </c>
      <c r="F98" t="s">
        <v>73</v>
      </c>
      <c r="G98" t="s">
        <v>55</v>
      </c>
      <c r="H98" t="s">
        <v>21</v>
      </c>
      <c r="I98" t="s">
        <v>22</v>
      </c>
      <c r="J98">
        <v>0</v>
      </c>
      <c r="K98">
        <v>1</v>
      </c>
      <c r="L98">
        <v>31.76</v>
      </c>
      <c r="M98">
        <v>0</v>
      </c>
      <c r="N98" t="b">
        <v>0</v>
      </c>
      <c r="O98" s="1">
        <v>46032</v>
      </c>
      <c r="Q98">
        <f t="shared" si="1"/>
        <v>31.76</v>
      </c>
    </row>
    <row r="99" spans="1:17">
      <c r="A99" t="s">
        <v>106</v>
      </c>
      <c r="B99" t="s">
        <v>27</v>
      </c>
      <c r="C99" t="s">
        <v>198</v>
      </c>
      <c r="D99" t="s">
        <v>208</v>
      </c>
      <c r="E99" t="s">
        <v>209</v>
      </c>
      <c r="F99" t="s">
        <v>73</v>
      </c>
      <c r="G99" t="s">
        <v>55</v>
      </c>
      <c r="H99" t="s">
        <v>21</v>
      </c>
      <c r="I99" t="s">
        <v>22</v>
      </c>
      <c r="J99">
        <v>0</v>
      </c>
      <c r="K99">
        <v>1</v>
      </c>
      <c r="L99" s="2">
        <v>1026.76</v>
      </c>
      <c r="M99">
        <v>0</v>
      </c>
      <c r="N99" t="b">
        <v>0</v>
      </c>
      <c r="O99" s="1">
        <v>46032</v>
      </c>
      <c r="Q99">
        <f t="shared" si="1"/>
        <v>1026.76</v>
      </c>
    </row>
    <row r="100" spans="1:17">
      <c r="A100" t="s">
        <v>106</v>
      </c>
      <c r="B100" t="s">
        <v>27</v>
      </c>
      <c r="C100" t="s">
        <v>198</v>
      </c>
      <c r="D100" t="s">
        <v>210</v>
      </c>
      <c r="E100" t="s">
        <v>211</v>
      </c>
      <c r="F100" t="s">
        <v>73</v>
      </c>
      <c r="G100" t="s">
        <v>55</v>
      </c>
      <c r="H100" t="s">
        <v>21</v>
      </c>
      <c r="I100" t="s">
        <v>22</v>
      </c>
      <c r="J100">
        <v>0</v>
      </c>
      <c r="K100">
        <v>1</v>
      </c>
      <c r="L100">
        <v>8.0399999999999991</v>
      </c>
      <c r="M100">
        <v>0</v>
      </c>
      <c r="N100" t="b">
        <v>0</v>
      </c>
      <c r="O100" s="1">
        <v>46032</v>
      </c>
      <c r="Q100">
        <f t="shared" si="1"/>
        <v>8.0399999999999991</v>
      </c>
    </row>
    <row r="101" spans="1:17">
      <c r="A101" t="s">
        <v>106</v>
      </c>
      <c r="B101" t="s">
        <v>27</v>
      </c>
      <c r="C101" t="s">
        <v>198</v>
      </c>
      <c r="D101" t="s">
        <v>212</v>
      </c>
      <c r="E101" t="s">
        <v>213</v>
      </c>
      <c r="F101" t="s">
        <v>73</v>
      </c>
      <c r="G101" t="s">
        <v>55</v>
      </c>
      <c r="H101" t="s">
        <v>21</v>
      </c>
      <c r="I101" t="s">
        <v>22</v>
      </c>
      <c r="J101">
        <v>0</v>
      </c>
      <c r="K101">
        <v>1</v>
      </c>
      <c r="L101">
        <v>18.649999999999999</v>
      </c>
      <c r="M101">
        <v>0</v>
      </c>
      <c r="N101" t="b">
        <v>0</v>
      </c>
      <c r="O101" s="1">
        <v>46032</v>
      </c>
      <c r="Q101">
        <f t="shared" si="1"/>
        <v>18.649999999999999</v>
      </c>
    </row>
    <row r="102" spans="1:17">
      <c r="A102" t="s">
        <v>106</v>
      </c>
      <c r="B102" t="s">
        <v>27</v>
      </c>
      <c r="C102" t="s">
        <v>214</v>
      </c>
      <c r="D102" t="s">
        <v>215</v>
      </c>
      <c r="E102" t="s">
        <v>216</v>
      </c>
      <c r="F102" t="s">
        <v>73</v>
      </c>
      <c r="G102" t="s">
        <v>55</v>
      </c>
      <c r="H102" t="s">
        <v>21</v>
      </c>
      <c r="I102" t="s">
        <v>22</v>
      </c>
      <c r="J102">
        <v>0</v>
      </c>
      <c r="K102">
        <v>1</v>
      </c>
      <c r="L102">
        <v>62.39</v>
      </c>
      <c r="M102">
        <v>0</v>
      </c>
      <c r="N102" t="b">
        <v>0</v>
      </c>
      <c r="O102" s="1">
        <v>46032</v>
      </c>
      <c r="Q102">
        <f t="shared" si="1"/>
        <v>62.39</v>
      </c>
    </row>
    <row r="103" spans="1:17">
      <c r="A103" t="s">
        <v>106</v>
      </c>
      <c r="B103" t="s">
        <v>27</v>
      </c>
      <c r="C103" t="s">
        <v>214</v>
      </c>
      <c r="D103" t="s">
        <v>217</v>
      </c>
      <c r="E103" t="s">
        <v>218</v>
      </c>
      <c r="F103" t="s">
        <v>73</v>
      </c>
      <c r="G103" t="s">
        <v>55</v>
      </c>
      <c r="H103" t="s">
        <v>21</v>
      </c>
      <c r="I103" t="s">
        <v>22</v>
      </c>
      <c r="J103">
        <v>0</v>
      </c>
      <c r="K103">
        <v>1</v>
      </c>
      <c r="L103">
        <v>38.590000000000003</v>
      </c>
      <c r="M103">
        <v>0</v>
      </c>
      <c r="N103" t="b">
        <v>0</v>
      </c>
      <c r="O103" s="1">
        <v>46032</v>
      </c>
      <c r="Q103">
        <f t="shared" si="1"/>
        <v>38.590000000000003</v>
      </c>
    </row>
    <row r="104" spans="1:17">
      <c r="A104" t="s">
        <v>106</v>
      </c>
      <c r="B104" t="s">
        <v>27</v>
      </c>
      <c r="C104" t="s">
        <v>214</v>
      </c>
      <c r="D104" t="s">
        <v>219</v>
      </c>
      <c r="E104" t="s">
        <v>220</v>
      </c>
      <c r="F104" t="s">
        <v>73</v>
      </c>
      <c r="G104" t="s">
        <v>55</v>
      </c>
      <c r="H104" t="s">
        <v>21</v>
      </c>
      <c r="I104" t="s">
        <v>22</v>
      </c>
      <c r="J104">
        <v>0</v>
      </c>
      <c r="K104">
        <v>1</v>
      </c>
      <c r="L104">
        <v>39.83</v>
      </c>
      <c r="M104">
        <v>0</v>
      </c>
      <c r="N104" t="b">
        <v>0</v>
      </c>
      <c r="O104" s="1">
        <v>46032</v>
      </c>
      <c r="Q104">
        <f t="shared" si="1"/>
        <v>39.83</v>
      </c>
    </row>
    <row r="105" spans="1:17">
      <c r="A105" t="s">
        <v>106</v>
      </c>
      <c r="B105" t="s">
        <v>27</v>
      </c>
      <c r="C105" t="s">
        <v>214</v>
      </c>
      <c r="D105" t="s">
        <v>221</v>
      </c>
      <c r="E105" t="s">
        <v>222</v>
      </c>
      <c r="F105" t="s">
        <v>73</v>
      </c>
      <c r="G105" t="s">
        <v>55</v>
      </c>
      <c r="H105" t="s">
        <v>21</v>
      </c>
      <c r="I105" t="s">
        <v>22</v>
      </c>
      <c r="J105">
        <v>0</v>
      </c>
      <c r="K105">
        <v>1</v>
      </c>
      <c r="L105">
        <v>26.8</v>
      </c>
      <c r="M105">
        <v>0</v>
      </c>
      <c r="N105" t="b">
        <v>0</v>
      </c>
      <c r="O105" s="1">
        <v>46032</v>
      </c>
      <c r="Q105">
        <f t="shared" si="1"/>
        <v>26.8</v>
      </c>
    </row>
    <row r="106" spans="1:17">
      <c r="A106" t="s">
        <v>106</v>
      </c>
      <c r="B106" t="s">
        <v>27</v>
      </c>
      <c r="C106" t="s">
        <v>214</v>
      </c>
      <c r="D106" t="s">
        <v>223</v>
      </c>
      <c r="E106" t="s">
        <v>224</v>
      </c>
      <c r="F106" t="s">
        <v>73</v>
      </c>
      <c r="G106" t="s">
        <v>55</v>
      </c>
      <c r="H106" t="s">
        <v>21</v>
      </c>
      <c r="I106" t="s">
        <v>22</v>
      </c>
      <c r="J106">
        <v>0</v>
      </c>
      <c r="K106">
        <v>1</v>
      </c>
      <c r="L106">
        <v>12.11</v>
      </c>
      <c r="M106">
        <v>0</v>
      </c>
      <c r="N106" t="b">
        <v>0</v>
      </c>
      <c r="O106" s="1">
        <v>46032</v>
      </c>
      <c r="Q106">
        <f t="shared" si="1"/>
        <v>12.11</v>
      </c>
    </row>
    <row r="107" spans="1:17">
      <c r="A107" t="s">
        <v>106</v>
      </c>
      <c r="B107" t="s">
        <v>27</v>
      </c>
      <c r="C107" t="s">
        <v>214</v>
      </c>
      <c r="D107" t="s">
        <v>225</v>
      </c>
      <c r="E107" t="s">
        <v>226</v>
      </c>
      <c r="F107" t="s">
        <v>73</v>
      </c>
      <c r="G107" t="s">
        <v>55</v>
      </c>
      <c r="H107" t="s">
        <v>21</v>
      </c>
      <c r="I107" t="s">
        <v>22</v>
      </c>
      <c r="J107">
        <v>0</v>
      </c>
      <c r="K107">
        <v>1</v>
      </c>
      <c r="L107">
        <v>23.63</v>
      </c>
      <c r="M107">
        <v>0</v>
      </c>
      <c r="N107" t="b">
        <v>0</v>
      </c>
      <c r="O107" s="1">
        <v>46032</v>
      </c>
      <c r="Q107">
        <f t="shared" si="1"/>
        <v>23.63</v>
      </c>
    </row>
    <row r="108" spans="1:17">
      <c r="A108" t="s">
        <v>106</v>
      </c>
      <c r="B108" t="s">
        <v>27</v>
      </c>
      <c r="C108" t="s">
        <v>214</v>
      </c>
      <c r="D108" t="s">
        <v>227</v>
      </c>
      <c r="E108" t="s">
        <v>228</v>
      </c>
      <c r="F108" t="s">
        <v>73</v>
      </c>
      <c r="G108" t="s">
        <v>55</v>
      </c>
      <c r="H108" t="s">
        <v>21</v>
      </c>
      <c r="I108" t="s">
        <v>22</v>
      </c>
      <c r="J108">
        <v>0</v>
      </c>
      <c r="K108">
        <v>1</v>
      </c>
      <c r="L108">
        <v>8.5399999999999991</v>
      </c>
      <c r="M108">
        <v>0</v>
      </c>
      <c r="N108" t="b">
        <v>0</v>
      </c>
      <c r="O108" s="1">
        <v>46032</v>
      </c>
      <c r="Q108">
        <f t="shared" si="1"/>
        <v>8.5399999999999991</v>
      </c>
    </row>
    <row r="109" spans="1:17">
      <c r="A109" t="s">
        <v>106</v>
      </c>
      <c r="B109" t="s">
        <v>27</v>
      </c>
      <c r="C109" t="s">
        <v>214</v>
      </c>
      <c r="D109" t="s">
        <v>229</v>
      </c>
      <c r="E109" t="s">
        <v>230</v>
      </c>
      <c r="F109" t="s">
        <v>73</v>
      </c>
      <c r="G109" t="s">
        <v>55</v>
      </c>
      <c r="H109" t="s">
        <v>21</v>
      </c>
      <c r="I109" t="s">
        <v>22</v>
      </c>
      <c r="J109">
        <v>0</v>
      </c>
      <c r="K109">
        <v>1</v>
      </c>
      <c r="L109">
        <v>17.59</v>
      </c>
      <c r="M109">
        <v>0</v>
      </c>
      <c r="N109" t="b">
        <v>0</v>
      </c>
      <c r="O109" s="1">
        <v>46032</v>
      </c>
      <c r="Q109">
        <f t="shared" si="1"/>
        <v>17.59</v>
      </c>
    </row>
    <row r="110" spans="1:17">
      <c r="A110" t="s">
        <v>106</v>
      </c>
      <c r="B110" t="s">
        <v>27</v>
      </c>
      <c r="C110" t="s">
        <v>214</v>
      </c>
      <c r="D110" t="s">
        <v>231</v>
      </c>
      <c r="E110" t="s">
        <v>232</v>
      </c>
      <c r="F110" t="s">
        <v>73</v>
      </c>
      <c r="G110" t="s">
        <v>55</v>
      </c>
      <c r="H110" t="s">
        <v>21</v>
      </c>
      <c r="I110" t="s">
        <v>22</v>
      </c>
      <c r="J110">
        <v>0</v>
      </c>
      <c r="K110">
        <v>1</v>
      </c>
      <c r="L110">
        <v>8.6199999999999992</v>
      </c>
      <c r="M110">
        <v>0</v>
      </c>
      <c r="N110" t="b">
        <v>0</v>
      </c>
      <c r="O110" s="1">
        <v>46032</v>
      </c>
      <c r="Q110">
        <f t="shared" si="1"/>
        <v>8.6199999999999992</v>
      </c>
    </row>
    <row r="111" spans="1:17">
      <c r="A111" t="s">
        <v>106</v>
      </c>
      <c r="B111" t="s">
        <v>27</v>
      </c>
      <c r="C111" t="s">
        <v>214</v>
      </c>
      <c r="D111" t="s">
        <v>233</v>
      </c>
      <c r="E111" t="s">
        <v>234</v>
      </c>
      <c r="F111" t="s">
        <v>73</v>
      </c>
      <c r="G111" t="s">
        <v>55</v>
      </c>
      <c r="H111" t="s">
        <v>21</v>
      </c>
      <c r="I111" t="s">
        <v>22</v>
      </c>
      <c r="J111">
        <v>0</v>
      </c>
      <c r="K111">
        <v>1</v>
      </c>
      <c r="L111">
        <v>6.08</v>
      </c>
      <c r="M111">
        <v>0</v>
      </c>
      <c r="N111" t="b">
        <v>0</v>
      </c>
      <c r="O111" s="1">
        <v>46032</v>
      </c>
      <c r="Q111">
        <f t="shared" si="1"/>
        <v>6.08</v>
      </c>
    </row>
    <row r="112" spans="1:17">
      <c r="A112" t="s">
        <v>106</v>
      </c>
      <c r="B112" t="s">
        <v>27</v>
      </c>
      <c r="C112" t="s">
        <v>214</v>
      </c>
      <c r="D112" t="s">
        <v>235</v>
      </c>
      <c r="E112" t="s">
        <v>236</v>
      </c>
      <c r="F112" t="s">
        <v>73</v>
      </c>
      <c r="G112" t="s">
        <v>55</v>
      </c>
      <c r="H112" t="s">
        <v>21</v>
      </c>
      <c r="I112" t="s">
        <v>22</v>
      </c>
      <c r="J112">
        <v>0</v>
      </c>
      <c r="K112">
        <v>1</v>
      </c>
      <c r="L112">
        <v>9.6199999999999992</v>
      </c>
      <c r="M112">
        <v>0</v>
      </c>
      <c r="N112" t="b">
        <v>0</v>
      </c>
      <c r="O112" s="1">
        <v>46032</v>
      </c>
      <c r="Q112">
        <f t="shared" si="1"/>
        <v>9.6199999999999992</v>
      </c>
    </row>
    <row r="113" spans="1:17">
      <c r="A113" t="s">
        <v>106</v>
      </c>
      <c r="B113" t="s">
        <v>27</v>
      </c>
      <c r="C113" t="s">
        <v>214</v>
      </c>
      <c r="D113" t="s">
        <v>237</v>
      </c>
      <c r="E113" t="s">
        <v>238</v>
      </c>
      <c r="F113" t="s">
        <v>73</v>
      </c>
      <c r="G113" t="s">
        <v>55</v>
      </c>
      <c r="H113" t="s">
        <v>21</v>
      </c>
      <c r="I113" t="s">
        <v>22</v>
      </c>
      <c r="J113">
        <v>0</v>
      </c>
      <c r="K113">
        <v>1</v>
      </c>
      <c r="L113">
        <v>41.2</v>
      </c>
      <c r="M113">
        <v>0</v>
      </c>
      <c r="N113" t="b">
        <v>0</v>
      </c>
      <c r="O113" s="1">
        <v>46032</v>
      </c>
      <c r="Q113">
        <f t="shared" si="1"/>
        <v>41.2</v>
      </c>
    </row>
    <row r="114" spans="1:17">
      <c r="A114" t="s">
        <v>106</v>
      </c>
      <c r="B114" t="s">
        <v>27</v>
      </c>
      <c r="C114" t="s">
        <v>214</v>
      </c>
      <c r="D114" t="s">
        <v>239</v>
      </c>
      <c r="E114" t="s">
        <v>240</v>
      </c>
      <c r="F114" t="s">
        <v>73</v>
      </c>
      <c r="G114" t="s">
        <v>55</v>
      </c>
      <c r="H114" t="s">
        <v>21</v>
      </c>
      <c r="I114" t="s">
        <v>22</v>
      </c>
      <c r="J114">
        <v>0</v>
      </c>
      <c r="K114">
        <v>1</v>
      </c>
      <c r="L114">
        <v>9.5500000000000007</v>
      </c>
      <c r="M114">
        <v>0</v>
      </c>
      <c r="N114" t="b">
        <v>0</v>
      </c>
      <c r="O114" s="1">
        <v>46032</v>
      </c>
      <c r="Q114">
        <f t="shared" si="1"/>
        <v>9.5500000000000007</v>
      </c>
    </row>
    <row r="115" spans="1:17">
      <c r="A115" t="s">
        <v>106</v>
      </c>
      <c r="B115" t="s">
        <v>27</v>
      </c>
      <c r="C115" t="s">
        <v>214</v>
      </c>
      <c r="D115" t="s">
        <v>241</v>
      </c>
      <c r="E115" t="s">
        <v>242</v>
      </c>
      <c r="F115" t="s">
        <v>73</v>
      </c>
      <c r="G115" t="s">
        <v>55</v>
      </c>
      <c r="H115" t="s">
        <v>21</v>
      </c>
      <c r="I115" t="s">
        <v>22</v>
      </c>
      <c r="J115">
        <v>0</v>
      </c>
      <c r="K115">
        <v>1</v>
      </c>
      <c r="L115">
        <v>22.02</v>
      </c>
      <c r="M115">
        <v>0</v>
      </c>
      <c r="N115" t="b">
        <v>0</v>
      </c>
      <c r="O115" s="1">
        <v>46032</v>
      </c>
      <c r="Q115">
        <f t="shared" si="1"/>
        <v>22.02</v>
      </c>
    </row>
    <row r="116" spans="1:17">
      <c r="A116" t="s">
        <v>106</v>
      </c>
      <c r="B116" t="s">
        <v>27</v>
      </c>
      <c r="C116" t="s">
        <v>214</v>
      </c>
      <c r="D116" t="s">
        <v>243</v>
      </c>
      <c r="E116" t="s">
        <v>244</v>
      </c>
      <c r="F116" t="s">
        <v>73</v>
      </c>
      <c r="G116" t="s">
        <v>55</v>
      </c>
      <c r="H116" t="s">
        <v>21</v>
      </c>
      <c r="I116" t="s">
        <v>22</v>
      </c>
      <c r="J116">
        <v>0</v>
      </c>
      <c r="K116">
        <v>1</v>
      </c>
      <c r="L116">
        <v>8.6</v>
      </c>
      <c r="M116">
        <v>0</v>
      </c>
      <c r="N116" t="b">
        <v>0</v>
      </c>
      <c r="O116" s="1">
        <v>46032</v>
      </c>
      <c r="Q116">
        <f t="shared" si="1"/>
        <v>8.6</v>
      </c>
    </row>
    <row r="117" spans="1:17">
      <c r="A117" t="s">
        <v>106</v>
      </c>
      <c r="B117" t="s">
        <v>27</v>
      </c>
      <c r="C117" t="s">
        <v>245</v>
      </c>
      <c r="D117" t="s">
        <v>199</v>
      </c>
      <c r="E117" t="s">
        <v>246</v>
      </c>
      <c r="F117" t="s">
        <v>73</v>
      </c>
      <c r="G117" t="s">
        <v>55</v>
      </c>
      <c r="H117" t="s">
        <v>21</v>
      </c>
      <c r="I117" t="s">
        <v>22</v>
      </c>
      <c r="J117">
        <v>0</v>
      </c>
      <c r="K117">
        <v>1</v>
      </c>
      <c r="L117">
        <v>5.74</v>
      </c>
      <c r="M117">
        <v>0</v>
      </c>
      <c r="N117" t="b">
        <v>0</v>
      </c>
      <c r="O117" s="1">
        <v>46032</v>
      </c>
      <c r="Q117">
        <f t="shared" si="1"/>
        <v>5.74</v>
      </c>
    </row>
    <row r="118" spans="1:17">
      <c r="A118" t="s">
        <v>106</v>
      </c>
      <c r="B118" t="s">
        <v>27</v>
      </c>
      <c r="C118" t="s">
        <v>245</v>
      </c>
      <c r="D118" t="s">
        <v>204</v>
      </c>
      <c r="E118" t="s">
        <v>247</v>
      </c>
      <c r="F118" t="s">
        <v>73</v>
      </c>
      <c r="G118" t="s">
        <v>55</v>
      </c>
      <c r="H118" t="s">
        <v>21</v>
      </c>
      <c r="I118" t="s">
        <v>22</v>
      </c>
      <c r="J118">
        <v>0</v>
      </c>
      <c r="K118">
        <v>1</v>
      </c>
      <c r="L118">
        <v>84.54</v>
      </c>
      <c r="M118">
        <v>0</v>
      </c>
      <c r="N118" t="b">
        <v>0</v>
      </c>
      <c r="O118" s="1">
        <v>46032</v>
      </c>
      <c r="Q118">
        <f t="shared" si="1"/>
        <v>84.54</v>
      </c>
    </row>
    <row r="119" spans="1:17">
      <c r="A119" t="s">
        <v>106</v>
      </c>
      <c r="B119" t="s">
        <v>27</v>
      </c>
      <c r="C119" t="s">
        <v>245</v>
      </c>
      <c r="D119" t="s">
        <v>248</v>
      </c>
      <c r="E119" t="s">
        <v>249</v>
      </c>
      <c r="F119" t="s">
        <v>73</v>
      </c>
      <c r="G119" t="s">
        <v>55</v>
      </c>
      <c r="H119" t="s">
        <v>21</v>
      </c>
      <c r="I119" t="s">
        <v>22</v>
      </c>
      <c r="J119">
        <v>0</v>
      </c>
      <c r="K119">
        <v>1</v>
      </c>
      <c r="L119">
        <v>13.28</v>
      </c>
      <c r="M119">
        <v>0</v>
      </c>
      <c r="N119" t="b">
        <v>0</v>
      </c>
      <c r="O119" s="1">
        <v>46032</v>
      </c>
      <c r="Q119">
        <f t="shared" si="1"/>
        <v>13.28</v>
      </c>
    </row>
    <row r="120" spans="1:17">
      <c r="A120" t="s">
        <v>106</v>
      </c>
      <c r="B120" t="s">
        <v>27</v>
      </c>
      <c r="C120" t="s">
        <v>245</v>
      </c>
      <c r="D120" t="s">
        <v>250</v>
      </c>
      <c r="E120" t="s">
        <v>251</v>
      </c>
      <c r="F120" t="s">
        <v>73</v>
      </c>
      <c r="G120" t="s">
        <v>55</v>
      </c>
      <c r="H120" t="s">
        <v>21</v>
      </c>
      <c r="I120" t="s">
        <v>22</v>
      </c>
      <c r="J120">
        <v>0</v>
      </c>
      <c r="K120">
        <v>1</v>
      </c>
      <c r="L120">
        <v>23.49</v>
      </c>
      <c r="M120">
        <v>0</v>
      </c>
      <c r="N120" t="b">
        <v>0</v>
      </c>
      <c r="O120" s="1">
        <v>46032</v>
      </c>
      <c r="Q120">
        <f t="shared" si="1"/>
        <v>23.49</v>
      </c>
    </row>
    <row r="121" spans="1:17">
      <c r="A121" t="s">
        <v>106</v>
      </c>
      <c r="B121" t="s">
        <v>27</v>
      </c>
      <c r="C121" t="s">
        <v>245</v>
      </c>
      <c r="D121" t="s">
        <v>252</v>
      </c>
      <c r="E121" t="s">
        <v>253</v>
      </c>
      <c r="F121" t="s">
        <v>73</v>
      </c>
      <c r="G121" t="s">
        <v>55</v>
      </c>
      <c r="H121" t="s">
        <v>21</v>
      </c>
      <c r="I121" t="s">
        <v>22</v>
      </c>
      <c r="J121">
        <v>0</v>
      </c>
      <c r="K121">
        <v>1</v>
      </c>
      <c r="L121">
        <v>28.94</v>
      </c>
      <c r="M121">
        <v>0</v>
      </c>
      <c r="N121" t="b">
        <v>0</v>
      </c>
      <c r="O121" s="1">
        <v>46032</v>
      </c>
      <c r="Q121">
        <f t="shared" si="1"/>
        <v>28.94</v>
      </c>
    </row>
    <row r="122" spans="1:17">
      <c r="A122" t="s">
        <v>106</v>
      </c>
      <c r="B122" t="s">
        <v>27</v>
      </c>
      <c r="C122" t="s">
        <v>245</v>
      </c>
      <c r="D122" t="s">
        <v>254</v>
      </c>
      <c r="E122" t="s">
        <v>255</v>
      </c>
      <c r="F122" t="s">
        <v>73</v>
      </c>
      <c r="G122" t="s">
        <v>55</v>
      </c>
      <c r="H122" t="s">
        <v>21</v>
      </c>
      <c r="I122" t="s">
        <v>22</v>
      </c>
      <c r="J122">
        <v>0</v>
      </c>
      <c r="K122">
        <v>1</v>
      </c>
      <c r="L122">
        <v>29.5</v>
      </c>
      <c r="M122">
        <v>0</v>
      </c>
      <c r="N122" t="b">
        <v>0</v>
      </c>
      <c r="O122" s="1">
        <v>46032</v>
      </c>
      <c r="Q122">
        <f t="shared" si="1"/>
        <v>29.5</v>
      </c>
    </row>
    <row r="123" spans="1:17">
      <c r="A123" t="s">
        <v>106</v>
      </c>
      <c r="B123" t="s">
        <v>27</v>
      </c>
      <c r="C123" t="s">
        <v>245</v>
      </c>
      <c r="D123" t="s">
        <v>212</v>
      </c>
      <c r="E123" t="s">
        <v>256</v>
      </c>
      <c r="F123" t="s">
        <v>73</v>
      </c>
      <c r="G123" t="s">
        <v>55</v>
      </c>
      <c r="H123" t="s">
        <v>21</v>
      </c>
      <c r="I123" t="s">
        <v>22</v>
      </c>
      <c r="J123">
        <v>0</v>
      </c>
      <c r="K123">
        <v>1</v>
      </c>
      <c r="L123">
        <v>6.89</v>
      </c>
      <c r="M123">
        <v>0</v>
      </c>
      <c r="N123" t="b">
        <v>0</v>
      </c>
      <c r="O123" s="1">
        <v>46032</v>
      </c>
      <c r="Q123">
        <f t="shared" si="1"/>
        <v>6.89</v>
      </c>
    </row>
    <row r="124" spans="1:17">
      <c r="A124" t="s">
        <v>106</v>
      </c>
      <c r="B124" t="s">
        <v>27</v>
      </c>
      <c r="C124" t="s">
        <v>245</v>
      </c>
      <c r="D124" t="s">
        <v>257</v>
      </c>
      <c r="E124" t="s">
        <v>258</v>
      </c>
      <c r="F124" t="s">
        <v>73</v>
      </c>
      <c r="G124" t="s">
        <v>55</v>
      </c>
      <c r="H124" t="s">
        <v>21</v>
      </c>
      <c r="I124" t="s">
        <v>22</v>
      </c>
      <c r="J124">
        <v>0</v>
      </c>
      <c r="K124">
        <v>1</v>
      </c>
      <c r="L124">
        <v>12.11</v>
      </c>
      <c r="M124">
        <v>0</v>
      </c>
      <c r="N124" t="b">
        <v>0</v>
      </c>
      <c r="O124" s="1">
        <v>46032</v>
      </c>
      <c r="Q124">
        <f t="shared" si="1"/>
        <v>12.11</v>
      </c>
    </row>
    <row r="125" spans="1:17">
      <c r="A125" t="s">
        <v>106</v>
      </c>
      <c r="B125" t="s">
        <v>27</v>
      </c>
      <c r="C125" t="s">
        <v>86</v>
      </c>
      <c r="D125" t="s">
        <v>259</v>
      </c>
      <c r="E125" t="s">
        <v>260</v>
      </c>
      <c r="F125" t="s">
        <v>73</v>
      </c>
      <c r="G125" t="s">
        <v>55</v>
      </c>
      <c r="H125" t="s">
        <v>21</v>
      </c>
      <c r="I125" t="s">
        <v>22</v>
      </c>
      <c r="J125">
        <v>0</v>
      </c>
      <c r="K125">
        <v>1</v>
      </c>
      <c r="L125">
        <v>42.2</v>
      </c>
      <c r="M125">
        <v>0</v>
      </c>
      <c r="N125" t="b">
        <v>0</v>
      </c>
      <c r="O125" s="1">
        <v>46032</v>
      </c>
      <c r="Q125">
        <f t="shared" si="1"/>
        <v>42.2</v>
      </c>
    </row>
    <row r="126" spans="1:17">
      <c r="A126" t="s">
        <v>106</v>
      </c>
      <c r="B126" t="s">
        <v>27</v>
      </c>
      <c r="C126" t="s">
        <v>86</v>
      </c>
      <c r="D126" t="s">
        <v>261</v>
      </c>
      <c r="E126" t="s">
        <v>262</v>
      </c>
      <c r="F126" t="s">
        <v>73</v>
      </c>
      <c r="G126" t="s">
        <v>55</v>
      </c>
      <c r="H126" t="s">
        <v>21</v>
      </c>
      <c r="I126" t="s">
        <v>22</v>
      </c>
      <c r="J126">
        <v>0</v>
      </c>
      <c r="K126">
        <v>1</v>
      </c>
      <c r="L126">
        <v>45.12</v>
      </c>
      <c r="M126">
        <v>0</v>
      </c>
      <c r="N126" t="b">
        <v>0</v>
      </c>
      <c r="O126" s="1">
        <v>46032</v>
      </c>
      <c r="Q126">
        <f t="shared" si="1"/>
        <v>45.12</v>
      </c>
    </row>
    <row r="127" spans="1:17">
      <c r="A127" t="s">
        <v>106</v>
      </c>
      <c r="B127" t="s">
        <v>27</v>
      </c>
      <c r="C127" t="s">
        <v>86</v>
      </c>
      <c r="D127" t="s">
        <v>263</v>
      </c>
      <c r="E127" t="s">
        <v>264</v>
      </c>
      <c r="F127" t="s">
        <v>73</v>
      </c>
      <c r="G127" t="s">
        <v>55</v>
      </c>
      <c r="H127" t="s">
        <v>21</v>
      </c>
      <c r="I127" t="s">
        <v>22</v>
      </c>
      <c r="J127">
        <v>0</v>
      </c>
      <c r="K127">
        <v>1</v>
      </c>
      <c r="L127">
        <v>19.63</v>
      </c>
      <c r="M127">
        <v>0</v>
      </c>
      <c r="N127" t="b">
        <v>0</v>
      </c>
      <c r="O127" s="1">
        <v>46032</v>
      </c>
      <c r="Q127">
        <f t="shared" si="1"/>
        <v>19.63</v>
      </c>
    </row>
    <row r="128" spans="1:17">
      <c r="A128" t="s">
        <v>106</v>
      </c>
      <c r="B128" t="s">
        <v>27</v>
      </c>
      <c r="C128" t="s">
        <v>86</v>
      </c>
      <c r="D128" t="s">
        <v>265</v>
      </c>
      <c r="E128" t="s">
        <v>266</v>
      </c>
      <c r="F128" t="s">
        <v>73</v>
      </c>
      <c r="G128" t="s">
        <v>55</v>
      </c>
      <c r="H128" t="s">
        <v>21</v>
      </c>
      <c r="I128" t="s">
        <v>22</v>
      </c>
      <c r="J128">
        <v>0</v>
      </c>
      <c r="K128">
        <v>1</v>
      </c>
      <c r="L128">
        <v>21.7</v>
      </c>
      <c r="M128">
        <v>0</v>
      </c>
      <c r="N128" t="b">
        <v>0</v>
      </c>
      <c r="O128" s="1">
        <v>46032</v>
      </c>
      <c r="Q128">
        <f t="shared" si="1"/>
        <v>21.7</v>
      </c>
    </row>
    <row r="129" spans="1:17">
      <c r="A129" t="s">
        <v>106</v>
      </c>
      <c r="B129" t="s">
        <v>27</v>
      </c>
      <c r="C129" t="s">
        <v>86</v>
      </c>
      <c r="D129" t="s">
        <v>267</v>
      </c>
      <c r="E129" t="s">
        <v>268</v>
      </c>
      <c r="F129" t="s">
        <v>73</v>
      </c>
      <c r="G129" t="s">
        <v>55</v>
      </c>
      <c r="H129" t="s">
        <v>21</v>
      </c>
      <c r="I129" t="s">
        <v>22</v>
      </c>
      <c r="J129">
        <v>0</v>
      </c>
      <c r="K129">
        <v>1</v>
      </c>
      <c r="L129">
        <v>25.25</v>
      </c>
      <c r="M129">
        <v>0</v>
      </c>
      <c r="N129" t="b">
        <v>0</v>
      </c>
      <c r="O129" s="1">
        <v>46032</v>
      </c>
      <c r="Q129">
        <f t="shared" si="1"/>
        <v>25.25</v>
      </c>
    </row>
    <row r="130" spans="1:17">
      <c r="A130" t="s">
        <v>106</v>
      </c>
      <c r="B130" t="s">
        <v>27</v>
      </c>
      <c r="C130" t="s">
        <v>269</v>
      </c>
      <c r="D130" t="s">
        <v>270</v>
      </c>
      <c r="E130" t="s">
        <v>271</v>
      </c>
      <c r="F130" t="s">
        <v>73</v>
      </c>
      <c r="G130" t="s">
        <v>55</v>
      </c>
      <c r="H130" t="s">
        <v>21</v>
      </c>
      <c r="I130" t="s">
        <v>22</v>
      </c>
      <c r="J130">
        <v>0</v>
      </c>
      <c r="K130">
        <v>1</v>
      </c>
      <c r="L130">
        <v>12.94</v>
      </c>
      <c r="M130">
        <v>0</v>
      </c>
      <c r="N130" t="b">
        <v>0</v>
      </c>
      <c r="O130" s="1">
        <v>46032</v>
      </c>
      <c r="Q130">
        <f t="shared" si="1"/>
        <v>12.94</v>
      </c>
    </row>
    <row r="131" spans="1:17">
      <c r="A131" t="s">
        <v>106</v>
      </c>
      <c r="B131" t="s">
        <v>27</v>
      </c>
      <c r="C131" t="s">
        <v>269</v>
      </c>
      <c r="D131" t="s">
        <v>272</v>
      </c>
      <c r="E131" t="s">
        <v>273</v>
      </c>
      <c r="F131" t="s">
        <v>73</v>
      </c>
      <c r="G131" t="s">
        <v>55</v>
      </c>
      <c r="H131" t="s">
        <v>21</v>
      </c>
      <c r="I131" t="s">
        <v>22</v>
      </c>
      <c r="J131">
        <v>0</v>
      </c>
      <c r="K131">
        <v>1</v>
      </c>
      <c r="L131">
        <v>79.260000000000005</v>
      </c>
      <c r="M131">
        <v>0</v>
      </c>
      <c r="N131" t="b">
        <v>0</v>
      </c>
      <c r="O131" s="1">
        <v>46032</v>
      </c>
      <c r="Q131">
        <f t="shared" ref="Q131:Q181" si="2">K131*L131</f>
        <v>79.260000000000005</v>
      </c>
    </row>
    <row r="132" spans="1:17">
      <c r="A132" t="s">
        <v>106</v>
      </c>
      <c r="B132" t="s">
        <v>27</v>
      </c>
      <c r="C132" t="s">
        <v>269</v>
      </c>
      <c r="D132" t="s">
        <v>274</v>
      </c>
      <c r="E132" t="s">
        <v>275</v>
      </c>
      <c r="F132" t="s">
        <v>73</v>
      </c>
      <c r="G132" t="s">
        <v>55</v>
      </c>
      <c r="H132" t="s">
        <v>21</v>
      </c>
      <c r="I132" t="s">
        <v>22</v>
      </c>
      <c r="J132">
        <v>0</v>
      </c>
      <c r="K132">
        <v>1</v>
      </c>
      <c r="L132">
        <v>21.98</v>
      </c>
      <c r="M132">
        <v>0</v>
      </c>
      <c r="N132" t="b">
        <v>0</v>
      </c>
      <c r="O132" s="1">
        <v>46032</v>
      </c>
      <c r="Q132">
        <f t="shared" si="2"/>
        <v>21.98</v>
      </c>
    </row>
    <row r="133" spans="1:17">
      <c r="A133" t="s">
        <v>106</v>
      </c>
      <c r="B133" t="s">
        <v>27</v>
      </c>
      <c r="C133" t="s">
        <v>269</v>
      </c>
      <c r="D133" t="s">
        <v>276</v>
      </c>
      <c r="E133" t="s">
        <v>277</v>
      </c>
      <c r="F133" t="s">
        <v>73</v>
      </c>
      <c r="G133" t="s">
        <v>55</v>
      </c>
      <c r="H133" t="s">
        <v>21</v>
      </c>
      <c r="I133" t="s">
        <v>22</v>
      </c>
      <c r="J133">
        <v>0</v>
      </c>
      <c r="K133">
        <v>1</v>
      </c>
      <c r="L133">
        <v>39.72</v>
      </c>
      <c r="M133">
        <v>0</v>
      </c>
      <c r="N133" t="b">
        <v>0</v>
      </c>
      <c r="O133" s="1">
        <v>46032</v>
      </c>
      <c r="Q133">
        <f t="shared" si="2"/>
        <v>39.72</v>
      </c>
    </row>
    <row r="134" spans="1:17">
      <c r="A134" t="s">
        <v>106</v>
      </c>
      <c r="B134" t="s">
        <v>27</v>
      </c>
      <c r="C134" t="s">
        <v>269</v>
      </c>
      <c r="D134" t="s">
        <v>278</v>
      </c>
      <c r="E134" t="s">
        <v>279</v>
      </c>
      <c r="F134" t="s">
        <v>73</v>
      </c>
      <c r="G134" t="s">
        <v>55</v>
      </c>
      <c r="H134" t="s">
        <v>21</v>
      </c>
      <c r="I134" t="s">
        <v>22</v>
      </c>
      <c r="J134">
        <v>0</v>
      </c>
      <c r="K134">
        <v>1</v>
      </c>
      <c r="L134">
        <v>23.47</v>
      </c>
      <c r="M134">
        <v>0</v>
      </c>
      <c r="N134" t="b">
        <v>0</v>
      </c>
      <c r="O134" s="1">
        <v>46032</v>
      </c>
      <c r="Q134">
        <f t="shared" si="2"/>
        <v>23.47</v>
      </c>
    </row>
    <row r="135" spans="1:17">
      <c r="A135" t="s">
        <v>106</v>
      </c>
      <c r="B135" t="s">
        <v>27</v>
      </c>
      <c r="C135" t="s">
        <v>269</v>
      </c>
      <c r="D135" t="s">
        <v>280</v>
      </c>
      <c r="E135" t="s">
        <v>281</v>
      </c>
      <c r="F135" t="s">
        <v>73</v>
      </c>
      <c r="G135" t="s">
        <v>55</v>
      </c>
      <c r="H135" t="s">
        <v>21</v>
      </c>
      <c r="I135" t="s">
        <v>22</v>
      </c>
      <c r="J135">
        <v>0</v>
      </c>
      <c r="K135">
        <v>1</v>
      </c>
      <c r="L135">
        <v>62.03</v>
      </c>
      <c r="M135">
        <v>0</v>
      </c>
      <c r="N135" t="b">
        <v>0</v>
      </c>
      <c r="O135" s="1">
        <v>46032</v>
      </c>
      <c r="Q135">
        <f t="shared" si="2"/>
        <v>62.03</v>
      </c>
    </row>
    <row r="136" spans="1:17">
      <c r="A136" t="s">
        <v>106</v>
      </c>
      <c r="B136" t="s">
        <v>27</v>
      </c>
      <c r="C136" t="s">
        <v>90</v>
      </c>
      <c r="D136" t="s">
        <v>282</v>
      </c>
      <c r="E136" t="s">
        <v>283</v>
      </c>
      <c r="F136" t="s">
        <v>73</v>
      </c>
      <c r="G136" t="s">
        <v>55</v>
      </c>
      <c r="H136" t="s">
        <v>21</v>
      </c>
      <c r="I136" t="s">
        <v>22</v>
      </c>
      <c r="J136">
        <v>0</v>
      </c>
      <c r="K136">
        <v>1</v>
      </c>
      <c r="L136">
        <v>35.14</v>
      </c>
      <c r="M136">
        <v>0</v>
      </c>
      <c r="N136" t="b">
        <v>0</v>
      </c>
      <c r="O136" s="1">
        <v>46032</v>
      </c>
      <c r="Q136">
        <f t="shared" si="2"/>
        <v>35.14</v>
      </c>
    </row>
    <row r="137" spans="1:17">
      <c r="A137" t="s">
        <v>106</v>
      </c>
      <c r="B137" t="s">
        <v>27</v>
      </c>
      <c r="C137" t="s">
        <v>90</v>
      </c>
      <c r="D137" t="s">
        <v>284</v>
      </c>
      <c r="E137" t="s">
        <v>285</v>
      </c>
      <c r="F137" t="s">
        <v>73</v>
      </c>
      <c r="G137" t="s">
        <v>55</v>
      </c>
      <c r="H137" t="s">
        <v>21</v>
      </c>
      <c r="I137" t="s">
        <v>22</v>
      </c>
      <c r="J137">
        <v>0</v>
      </c>
      <c r="K137">
        <v>1</v>
      </c>
      <c r="L137">
        <v>13.87</v>
      </c>
      <c r="M137">
        <v>0</v>
      </c>
      <c r="N137" t="b">
        <v>0</v>
      </c>
      <c r="O137" s="1">
        <v>46032</v>
      </c>
      <c r="Q137">
        <f t="shared" si="2"/>
        <v>13.87</v>
      </c>
    </row>
    <row r="138" spans="1:17">
      <c r="A138" t="s">
        <v>106</v>
      </c>
      <c r="B138" t="s">
        <v>27</v>
      </c>
      <c r="C138" t="s">
        <v>90</v>
      </c>
      <c r="D138" t="s">
        <v>286</v>
      </c>
      <c r="E138" t="s">
        <v>287</v>
      </c>
      <c r="F138" t="s">
        <v>73</v>
      </c>
      <c r="G138" t="s">
        <v>55</v>
      </c>
      <c r="H138" t="s">
        <v>21</v>
      </c>
      <c r="I138" t="s">
        <v>22</v>
      </c>
      <c r="J138">
        <v>0</v>
      </c>
      <c r="K138">
        <v>1</v>
      </c>
      <c r="L138">
        <v>9.16</v>
      </c>
      <c r="M138">
        <v>0</v>
      </c>
      <c r="N138" t="b">
        <v>0</v>
      </c>
      <c r="O138" s="1">
        <v>46032</v>
      </c>
      <c r="Q138">
        <f t="shared" si="2"/>
        <v>9.16</v>
      </c>
    </row>
    <row r="139" spans="1:17">
      <c r="A139" t="s">
        <v>106</v>
      </c>
      <c r="B139" t="s">
        <v>27</v>
      </c>
      <c r="C139" t="s">
        <v>90</v>
      </c>
      <c r="D139" t="s">
        <v>288</v>
      </c>
      <c r="E139" t="s">
        <v>289</v>
      </c>
      <c r="F139" t="s">
        <v>73</v>
      </c>
      <c r="G139" t="s">
        <v>55</v>
      </c>
      <c r="H139" t="s">
        <v>21</v>
      </c>
      <c r="I139" t="s">
        <v>22</v>
      </c>
      <c r="J139">
        <v>0</v>
      </c>
      <c r="K139">
        <v>1</v>
      </c>
      <c r="L139">
        <v>7.91</v>
      </c>
      <c r="M139">
        <v>0</v>
      </c>
      <c r="N139" t="b">
        <v>0</v>
      </c>
      <c r="O139" s="1">
        <v>46032</v>
      </c>
      <c r="Q139">
        <f t="shared" si="2"/>
        <v>7.91</v>
      </c>
    </row>
    <row r="140" spans="1:17">
      <c r="A140" t="s">
        <v>106</v>
      </c>
      <c r="B140" t="s">
        <v>27</v>
      </c>
      <c r="C140" t="s">
        <v>90</v>
      </c>
      <c r="D140" t="s">
        <v>290</v>
      </c>
      <c r="E140" t="s">
        <v>291</v>
      </c>
      <c r="F140" t="s">
        <v>73</v>
      </c>
      <c r="G140" t="s">
        <v>55</v>
      </c>
      <c r="H140" t="s">
        <v>21</v>
      </c>
      <c r="I140" t="s">
        <v>22</v>
      </c>
      <c r="J140">
        <v>0</v>
      </c>
      <c r="K140">
        <v>1</v>
      </c>
      <c r="L140">
        <v>38.14</v>
      </c>
      <c r="M140">
        <v>0</v>
      </c>
      <c r="N140" t="b">
        <v>0</v>
      </c>
      <c r="O140" s="1">
        <v>46032</v>
      </c>
      <c r="Q140">
        <f t="shared" si="2"/>
        <v>38.14</v>
      </c>
    </row>
    <row r="141" spans="1:17">
      <c r="A141" t="s">
        <v>106</v>
      </c>
      <c r="B141" t="s">
        <v>27</v>
      </c>
      <c r="C141" t="s">
        <v>90</v>
      </c>
      <c r="D141" t="s">
        <v>292</v>
      </c>
      <c r="E141" t="s">
        <v>293</v>
      </c>
      <c r="F141" t="s">
        <v>73</v>
      </c>
      <c r="G141" t="s">
        <v>55</v>
      </c>
      <c r="H141" t="s">
        <v>21</v>
      </c>
      <c r="I141" t="s">
        <v>22</v>
      </c>
      <c r="J141">
        <v>0</v>
      </c>
      <c r="K141">
        <v>1</v>
      </c>
      <c r="L141">
        <v>43.66</v>
      </c>
      <c r="M141">
        <v>0</v>
      </c>
      <c r="N141" t="b">
        <v>0</v>
      </c>
      <c r="O141" s="1">
        <v>46032</v>
      </c>
      <c r="Q141">
        <f t="shared" si="2"/>
        <v>43.66</v>
      </c>
    </row>
    <row r="142" spans="1:17">
      <c r="A142" t="s">
        <v>106</v>
      </c>
      <c r="B142" t="s">
        <v>27</v>
      </c>
      <c r="C142" t="s">
        <v>90</v>
      </c>
      <c r="D142" t="s">
        <v>294</v>
      </c>
      <c r="E142" t="s">
        <v>295</v>
      </c>
      <c r="F142" t="s">
        <v>73</v>
      </c>
      <c r="G142" t="s">
        <v>55</v>
      </c>
      <c r="H142" t="s">
        <v>21</v>
      </c>
      <c r="I142" t="s">
        <v>22</v>
      </c>
      <c r="J142">
        <v>0</v>
      </c>
      <c r="K142">
        <v>1</v>
      </c>
      <c r="L142">
        <v>24.3</v>
      </c>
      <c r="M142">
        <v>0</v>
      </c>
      <c r="N142" t="b">
        <v>0</v>
      </c>
      <c r="O142" s="1">
        <v>46032</v>
      </c>
      <c r="Q142">
        <f t="shared" si="2"/>
        <v>24.3</v>
      </c>
    </row>
    <row r="143" spans="1:17">
      <c r="A143" t="s">
        <v>106</v>
      </c>
      <c r="B143" t="s">
        <v>27</v>
      </c>
      <c r="C143" t="s">
        <v>90</v>
      </c>
      <c r="D143" t="s">
        <v>296</v>
      </c>
      <c r="E143" t="s">
        <v>297</v>
      </c>
      <c r="F143" t="s">
        <v>73</v>
      </c>
      <c r="G143" t="s">
        <v>55</v>
      </c>
      <c r="H143" t="s">
        <v>21</v>
      </c>
      <c r="I143" t="s">
        <v>22</v>
      </c>
      <c r="J143">
        <v>0</v>
      </c>
      <c r="K143">
        <v>1</v>
      </c>
      <c r="L143">
        <v>189.64</v>
      </c>
      <c r="M143">
        <v>0</v>
      </c>
      <c r="N143" t="b">
        <v>0</v>
      </c>
      <c r="O143" s="1">
        <v>46032</v>
      </c>
      <c r="Q143">
        <f t="shared" si="2"/>
        <v>189.64</v>
      </c>
    </row>
    <row r="144" spans="1:17">
      <c r="A144" t="s">
        <v>106</v>
      </c>
      <c r="B144" t="s">
        <v>27</v>
      </c>
      <c r="C144" t="s">
        <v>90</v>
      </c>
      <c r="D144" t="s">
        <v>298</v>
      </c>
      <c r="E144" t="s">
        <v>299</v>
      </c>
      <c r="F144" t="s">
        <v>73</v>
      </c>
      <c r="G144" t="s">
        <v>55</v>
      </c>
      <c r="H144" t="s">
        <v>21</v>
      </c>
      <c r="I144" t="s">
        <v>22</v>
      </c>
      <c r="J144">
        <v>0</v>
      </c>
      <c r="K144">
        <v>1</v>
      </c>
      <c r="L144">
        <v>32.68</v>
      </c>
      <c r="M144">
        <v>0</v>
      </c>
      <c r="N144" t="b">
        <v>0</v>
      </c>
      <c r="O144" s="1">
        <v>46032</v>
      </c>
      <c r="Q144">
        <f t="shared" si="2"/>
        <v>32.68</v>
      </c>
    </row>
    <row r="145" spans="1:17">
      <c r="A145" t="s">
        <v>106</v>
      </c>
      <c r="B145" t="s">
        <v>27</v>
      </c>
      <c r="C145" t="s">
        <v>90</v>
      </c>
      <c r="D145" t="s">
        <v>300</v>
      </c>
      <c r="E145" t="s">
        <v>301</v>
      </c>
      <c r="F145" t="s">
        <v>73</v>
      </c>
      <c r="G145" t="s">
        <v>55</v>
      </c>
      <c r="H145" t="s">
        <v>21</v>
      </c>
      <c r="I145" t="s">
        <v>22</v>
      </c>
      <c r="J145">
        <v>0</v>
      </c>
      <c r="K145">
        <v>1</v>
      </c>
      <c r="L145">
        <v>143.16999999999999</v>
      </c>
      <c r="M145">
        <v>0</v>
      </c>
      <c r="N145" t="b">
        <v>0</v>
      </c>
      <c r="O145" s="1">
        <v>46032</v>
      </c>
      <c r="Q145">
        <f t="shared" si="2"/>
        <v>143.16999999999999</v>
      </c>
    </row>
    <row r="146" spans="1:17">
      <c r="A146" t="s">
        <v>106</v>
      </c>
      <c r="B146" t="s">
        <v>27</v>
      </c>
      <c r="C146" t="s">
        <v>90</v>
      </c>
      <c r="D146" t="s">
        <v>302</v>
      </c>
      <c r="E146" t="s">
        <v>303</v>
      </c>
      <c r="F146" t="s">
        <v>73</v>
      </c>
      <c r="G146" t="s">
        <v>55</v>
      </c>
      <c r="H146" t="s">
        <v>21</v>
      </c>
      <c r="I146" t="s">
        <v>22</v>
      </c>
      <c r="J146">
        <v>0</v>
      </c>
      <c r="K146">
        <v>1</v>
      </c>
      <c r="L146">
        <v>382.99</v>
      </c>
      <c r="M146">
        <v>0</v>
      </c>
      <c r="N146" t="b">
        <v>0</v>
      </c>
      <c r="O146" s="1">
        <v>46032</v>
      </c>
      <c r="Q146">
        <f t="shared" si="2"/>
        <v>382.99</v>
      </c>
    </row>
    <row r="147" spans="1:17">
      <c r="A147" t="s">
        <v>106</v>
      </c>
      <c r="B147" t="s">
        <v>27</v>
      </c>
      <c r="C147" t="s">
        <v>104</v>
      </c>
      <c r="D147" t="s">
        <v>304</v>
      </c>
      <c r="E147" t="s">
        <v>305</v>
      </c>
      <c r="F147" t="s">
        <v>73</v>
      </c>
      <c r="G147" t="s">
        <v>55</v>
      </c>
      <c r="H147" t="s">
        <v>21</v>
      </c>
      <c r="I147" t="s">
        <v>22</v>
      </c>
      <c r="J147">
        <v>0</v>
      </c>
      <c r="K147">
        <v>1</v>
      </c>
      <c r="L147">
        <v>80.81</v>
      </c>
      <c r="M147">
        <v>0</v>
      </c>
      <c r="N147" t="b">
        <v>0</v>
      </c>
      <c r="O147" s="1">
        <v>46032</v>
      </c>
      <c r="Q147">
        <f t="shared" si="2"/>
        <v>80.81</v>
      </c>
    </row>
    <row r="148" spans="1:17">
      <c r="A148" t="s">
        <v>106</v>
      </c>
      <c r="B148" t="s">
        <v>27</v>
      </c>
      <c r="C148" t="s">
        <v>104</v>
      </c>
      <c r="D148" t="s">
        <v>306</v>
      </c>
      <c r="E148" t="s">
        <v>307</v>
      </c>
      <c r="F148" t="s">
        <v>73</v>
      </c>
      <c r="G148" t="s">
        <v>55</v>
      </c>
      <c r="H148" t="s">
        <v>21</v>
      </c>
      <c r="I148" t="s">
        <v>22</v>
      </c>
      <c r="J148">
        <v>0</v>
      </c>
      <c r="K148">
        <v>1</v>
      </c>
      <c r="L148">
        <v>164.49</v>
      </c>
      <c r="M148">
        <v>0</v>
      </c>
      <c r="N148" t="b">
        <v>0</v>
      </c>
      <c r="O148" s="1">
        <v>46032</v>
      </c>
      <c r="Q148">
        <f t="shared" si="2"/>
        <v>164.49</v>
      </c>
    </row>
    <row r="149" spans="1:17">
      <c r="A149" t="s">
        <v>106</v>
      </c>
      <c r="B149" t="s">
        <v>27</v>
      </c>
      <c r="C149" t="s">
        <v>104</v>
      </c>
      <c r="D149" t="s">
        <v>156</v>
      </c>
      <c r="E149" t="s">
        <v>308</v>
      </c>
      <c r="F149" t="s">
        <v>73</v>
      </c>
      <c r="G149" t="s">
        <v>55</v>
      </c>
      <c r="H149" t="s">
        <v>21</v>
      </c>
      <c r="I149" t="s">
        <v>22</v>
      </c>
      <c r="J149">
        <v>0</v>
      </c>
      <c r="K149">
        <v>1</v>
      </c>
      <c r="L149">
        <v>457</v>
      </c>
      <c r="M149">
        <v>0</v>
      </c>
      <c r="N149" t="b">
        <v>0</v>
      </c>
      <c r="O149" s="1">
        <v>46032</v>
      </c>
      <c r="Q149">
        <f t="shared" si="2"/>
        <v>457</v>
      </c>
    </row>
    <row r="150" spans="1:17">
      <c r="A150" t="s">
        <v>106</v>
      </c>
      <c r="B150" t="s">
        <v>27</v>
      </c>
      <c r="C150" t="s">
        <v>104</v>
      </c>
      <c r="D150" t="s">
        <v>309</v>
      </c>
      <c r="E150" t="s">
        <v>310</v>
      </c>
      <c r="F150" t="s">
        <v>73</v>
      </c>
      <c r="G150" t="s">
        <v>55</v>
      </c>
      <c r="H150" t="s">
        <v>21</v>
      </c>
      <c r="I150" t="s">
        <v>22</v>
      </c>
      <c r="J150">
        <v>0</v>
      </c>
      <c r="K150">
        <v>1</v>
      </c>
      <c r="L150">
        <v>21.82</v>
      </c>
      <c r="M150">
        <v>0</v>
      </c>
      <c r="N150" t="b">
        <v>0</v>
      </c>
      <c r="O150" s="1">
        <v>46032</v>
      </c>
      <c r="Q150">
        <f t="shared" si="2"/>
        <v>21.82</v>
      </c>
    </row>
    <row r="151" spans="1:17">
      <c r="A151" t="s">
        <v>106</v>
      </c>
      <c r="B151" t="s">
        <v>27</v>
      </c>
      <c r="C151" t="s">
        <v>104</v>
      </c>
      <c r="D151" t="s">
        <v>311</v>
      </c>
      <c r="E151" t="s">
        <v>312</v>
      </c>
      <c r="F151" t="s">
        <v>73</v>
      </c>
      <c r="G151" t="s">
        <v>55</v>
      </c>
      <c r="H151" t="s">
        <v>21</v>
      </c>
      <c r="I151" t="s">
        <v>22</v>
      </c>
      <c r="J151">
        <v>0</v>
      </c>
      <c r="K151">
        <v>1</v>
      </c>
      <c r="L151">
        <v>18.27</v>
      </c>
      <c r="M151">
        <v>0</v>
      </c>
      <c r="N151" t="b">
        <v>0</v>
      </c>
      <c r="O151" s="1">
        <v>46032</v>
      </c>
      <c r="Q151">
        <f t="shared" si="2"/>
        <v>18.27</v>
      </c>
    </row>
    <row r="152" spans="1:17">
      <c r="A152" t="s">
        <v>106</v>
      </c>
      <c r="B152" t="s">
        <v>27</v>
      </c>
      <c r="C152" t="s">
        <v>104</v>
      </c>
      <c r="D152" t="s">
        <v>313</v>
      </c>
      <c r="E152" t="s">
        <v>314</v>
      </c>
      <c r="F152" t="s">
        <v>73</v>
      </c>
      <c r="G152" t="s">
        <v>55</v>
      </c>
      <c r="H152" t="s">
        <v>21</v>
      </c>
      <c r="I152" t="s">
        <v>22</v>
      </c>
      <c r="J152">
        <v>0</v>
      </c>
      <c r="K152">
        <v>1</v>
      </c>
      <c r="L152">
        <v>127.87</v>
      </c>
      <c r="M152">
        <v>0</v>
      </c>
      <c r="N152" t="b">
        <v>0</v>
      </c>
      <c r="O152" s="1">
        <v>46032</v>
      </c>
      <c r="Q152">
        <f t="shared" si="2"/>
        <v>127.87</v>
      </c>
    </row>
    <row r="153" spans="1:17">
      <c r="A153" t="s">
        <v>106</v>
      </c>
      <c r="B153" t="s">
        <v>27</v>
      </c>
      <c r="C153" t="s">
        <v>104</v>
      </c>
      <c r="D153" t="s">
        <v>315</v>
      </c>
      <c r="E153" t="s">
        <v>316</v>
      </c>
      <c r="F153" t="s">
        <v>73</v>
      </c>
      <c r="G153" t="s">
        <v>55</v>
      </c>
      <c r="H153" t="s">
        <v>21</v>
      </c>
      <c r="I153" t="s">
        <v>22</v>
      </c>
      <c r="J153">
        <v>0</v>
      </c>
      <c r="K153">
        <v>1</v>
      </c>
      <c r="L153">
        <v>111.22</v>
      </c>
      <c r="M153">
        <v>0</v>
      </c>
      <c r="N153" t="b">
        <v>0</v>
      </c>
      <c r="O153" s="1">
        <v>46032</v>
      </c>
      <c r="Q153">
        <f t="shared" si="2"/>
        <v>111.22</v>
      </c>
    </row>
    <row r="154" spans="1:17">
      <c r="A154" t="s">
        <v>106</v>
      </c>
      <c r="B154" t="s">
        <v>27</v>
      </c>
      <c r="C154" t="s">
        <v>317</v>
      </c>
      <c r="D154" t="s">
        <v>318</v>
      </c>
      <c r="E154" t="s">
        <v>319</v>
      </c>
      <c r="F154" t="s">
        <v>73</v>
      </c>
      <c r="G154" t="s">
        <v>55</v>
      </c>
      <c r="H154" t="s">
        <v>21</v>
      </c>
      <c r="I154" t="s">
        <v>22</v>
      </c>
      <c r="J154">
        <v>0</v>
      </c>
      <c r="K154">
        <v>1</v>
      </c>
      <c r="L154">
        <v>29.52</v>
      </c>
      <c r="M154">
        <v>0</v>
      </c>
      <c r="N154" t="b">
        <v>0</v>
      </c>
      <c r="O154" s="1">
        <v>46032</v>
      </c>
      <c r="Q154">
        <f t="shared" si="2"/>
        <v>29.52</v>
      </c>
    </row>
    <row r="155" spans="1:17">
      <c r="A155" t="s">
        <v>106</v>
      </c>
      <c r="B155" t="s">
        <v>27</v>
      </c>
      <c r="C155" t="s">
        <v>317</v>
      </c>
      <c r="D155" t="s">
        <v>320</v>
      </c>
      <c r="E155" t="s">
        <v>321</v>
      </c>
      <c r="F155" t="s">
        <v>73</v>
      </c>
      <c r="G155" t="s">
        <v>55</v>
      </c>
      <c r="H155" t="s">
        <v>21</v>
      </c>
      <c r="I155" t="s">
        <v>22</v>
      </c>
      <c r="J155">
        <v>0</v>
      </c>
      <c r="K155">
        <v>1</v>
      </c>
      <c r="L155">
        <v>16.899999999999999</v>
      </c>
      <c r="M155">
        <v>0</v>
      </c>
      <c r="N155" t="b">
        <v>0</v>
      </c>
      <c r="O155" s="1">
        <v>46032</v>
      </c>
      <c r="Q155">
        <f t="shared" si="2"/>
        <v>16.899999999999999</v>
      </c>
    </row>
    <row r="156" spans="1:17">
      <c r="A156" t="s">
        <v>106</v>
      </c>
      <c r="B156" t="s">
        <v>27</v>
      </c>
      <c r="C156" t="s">
        <v>317</v>
      </c>
      <c r="D156" t="s">
        <v>322</v>
      </c>
      <c r="E156" t="s">
        <v>323</v>
      </c>
      <c r="F156" t="s">
        <v>73</v>
      </c>
      <c r="G156" t="s">
        <v>55</v>
      </c>
      <c r="H156" t="s">
        <v>21</v>
      </c>
      <c r="I156" t="s">
        <v>22</v>
      </c>
      <c r="J156">
        <v>0</v>
      </c>
      <c r="K156">
        <v>1</v>
      </c>
      <c r="L156">
        <v>60.25</v>
      </c>
      <c r="M156">
        <v>0</v>
      </c>
      <c r="N156" t="b">
        <v>0</v>
      </c>
      <c r="O156" s="1">
        <v>46032</v>
      </c>
      <c r="Q156">
        <f t="shared" si="2"/>
        <v>60.25</v>
      </c>
    </row>
    <row r="157" spans="1:17">
      <c r="A157" t="s">
        <v>106</v>
      </c>
      <c r="B157" t="s">
        <v>27</v>
      </c>
      <c r="C157" t="s">
        <v>317</v>
      </c>
      <c r="D157" t="s">
        <v>324</v>
      </c>
      <c r="E157" t="s">
        <v>325</v>
      </c>
      <c r="F157" t="s">
        <v>73</v>
      </c>
      <c r="G157" t="s">
        <v>55</v>
      </c>
      <c r="H157" t="s">
        <v>21</v>
      </c>
      <c r="I157" t="s">
        <v>22</v>
      </c>
      <c r="J157">
        <v>0</v>
      </c>
      <c r="K157">
        <v>1</v>
      </c>
      <c r="L157">
        <v>29.11</v>
      </c>
      <c r="M157">
        <v>0</v>
      </c>
      <c r="N157" t="b">
        <v>0</v>
      </c>
      <c r="O157" s="1">
        <v>46032</v>
      </c>
      <c r="Q157">
        <f t="shared" si="2"/>
        <v>29.11</v>
      </c>
    </row>
    <row r="158" spans="1:17">
      <c r="A158" t="s">
        <v>106</v>
      </c>
      <c r="B158" t="s">
        <v>27</v>
      </c>
      <c r="C158" t="s">
        <v>317</v>
      </c>
      <c r="D158" t="s">
        <v>326</v>
      </c>
      <c r="E158" t="s">
        <v>327</v>
      </c>
      <c r="F158" t="s">
        <v>73</v>
      </c>
      <c r="G158" t="s">
        <v>55</v>
      </c>
      <c r="H158" t="s">
        <v>21</v>
      </c>
      <c r="I158" t="s">
        <v>22</v>
      </c>
      <c r="J158">
        <v>0</v>
      </c>
      <c r="K158">
        <v>1</v>
      </c>
      <c r="L158">
        <v>58.94</v>
      </c>
      <c r="M158">
        <v>0</v>
      </c>
      <c r="N158" t="b">
        <v>0</v>
      </c>
      <c r="O158" s="1">
        <v>46032</v>
      </c>
      <c r="Q158">
        <f t="shared" si="2"/>
        <v>58.94</v>
      </c>
    </row>
    <row r="159" spans="1:17">
      <c r="A159" t="s">
        <v>106</v>
      </c>
      <c r="B159" t="s">
        <v>27</v>
      </c>
      <c r="C159" t="s">
        <v>317</v>
      </c>
      <c r="D159" t="s">
        <v>328</v>
      </c>
      <c r="E159" t="s">
        <v>329</v>
      </c>
      <c r="F159" t="s">
        <v>73</v>
      </c>
      <c r="G159" t="s">
        <v>55</v>
      </c>
      <c r="H159" t="s">
        <v>21</v>
      </c>
      <c r="I159" t="s">
        <v>22</v>
      </c>
      <c r="J159">
        <v>0</v>
      </c>
      <c r="K159">
        <v>1</v>
      </c>
      <c r="L159">
        <v>42.17</v>
      </c>
      <c r="M159">
        <v>0</v>
      </c>
      <c r="N159" t="b">
        <v>0</v>
      </c>
      <c r="O159" s="1">
        <v>46032</v>
      </c>
      <c r="Q159">
        <f t="shared" si="2"/>
        <v>42.17</v>
      </c>
    </row>
    <row r="160" spans="1:17">
      <c r="A160" t="s">
        <v>106</v>
      </c>
      <c r="B160" t="s">
        <v>27</v>
      </c>
      <c r="C160" t="s">
        <v>317</v>
      </c>
      <c r="D160" t="s">
        <v>330</v>
      </c>
      <c r="E160" t="s">
        <v>331</v>
      </c>
      <c r="F160" t="s">
        <v>73</v>
      </c>
      <c r="G160" t="s">
        <v>55</v>
      </c>
      <c r="H160" t="s">
        <v>21</v>
      </c>
      <c r="I160" t="s">
        <v>22</v>
      </c>
      <c r="J160">
        <v>0</v>
      </c>
      <c r="K160">
        <v>1</v>
      </c>
      <c r="L160">
        <v>76.790000000000006</v>
      </c>
      <c r="M160">
        <v>0</v>
      </c>
      <c r="N160" t="b">
        <v>0</v>
      </c>
      <c r="O160" s="1">
        <v>46032</v>
      </c>
      <c r="Q160">
        <f t="shared" si="2"/>
        <v>76.790000000000006</v>
      </c>
    </row>
    <row r="161" spans="1:17">
      <c r="A161" t="s">
        <v>106</v>
      </c>
      <c r="B161" t="s">
        <v>27</v>
      </c>
      <c r="C161" t="s">
        <v>317</v>
      </c>
      <c r="D161" t="s">
        <v>332</v>
      </c>
      <c r="E161" t="s">
        <v>333</v>
      </c>
      <c r="F161" t="s">
        <v>73</v>
      </c>
      <c r="G161" t="s">
        <v>55</v>
      </c>
      <c r="H161" t="s">
        <v>21</v>
      </c>
      <c r="I161" t="s">
        <v>22</v>
      </c>
      <c r="J161">
        <v>0</v>
      </c>
      <c r="K161">
        <v>1</v>
      </c>
      <c r="L161">
        <v>72.400000000000006</v>
      </c>
      <c r="M161">
        <v>0</v>
      </c>
      <c r="N161" t="b">
        <v>0</v>
      </c>
      <c r="O161" s="1">
        <v>46032</v>
      </c>
      <c r="Q161">
        <f t="shared" si="2"/>
        <v>72.400000000000006</v>
      </c>
    </row>
    <row r="162" spans="1:17">
      <c r="A162" t="s">
        <v>106</v>
      </c>
      <c r="B162" t="s">
        <v>27</v>
      </c>
      <c r="C162" t="s">
        <v>317</v>
      </c>
      <c r="D162" t="s">
        <v>334</v>
      </c>
      <c r="E162" t="s">
        <v>335</v>
      </c>
      <c r="F162" t="s">
        <v>73</v>
      </c>
      <c r="G162" t="s">
        <v>55</v>
      </c>
      <c r="H162" t="s">
        <v>21</v>
      </c>
      <c r="I162" t="s">
        <v>22</v>
      </c>
      <c r="J162">
        <v>0</v>
      </c>
      <c r="K162">
        <v>1</v>
      </c>
      <c r="L162">
        <v>20.53</v>
      </c>
      <c r="M162">
        <v>0</v>
      </c>
      <c r="N162" t="b">
        <v>0</v>
      </c>
      <c r="O162" s="1">
        <v>46032</v>
      </c>
      <c r="Q162">
        <f t="shared" si="2"/>
        <v>20.53</v>
      </c>
    </row>
    <row r="163" spans="1:17">
      <c r="A163" t="s">
        <v>106</v>
      </c>
      <c r="B163" t="s">
        <v>27</v>
      </c>
      <c r="C163" t="s">
        <v>317</v>
      </c>
      <c r="D163" t="s">
        <v>336</v>
      </c>
      <c r="E163" t="s">
        <v>337</v>
      </c>
      <c r="F163" t="s">
        <v>73</v>
      </c>
      <c r="G163" t="s">
        <v>55</v>
      </c>
      <c r="H163" t="s">
        <v>21</v>
      </c>
      <c r="I163" t="s">
        <v>22</v>
      </c>
      <c r="J163">
        <v>0</v>
      </c>
      <c r="K163">
        <v>1</v>
      </c>
      <c r="L163">
        <v>60.94</v>
      </c>
      <c r="M163">
        <v>0</v>
      </c>
      <c r="N163" t="b">
        <v>0</v>
      </c>
      <c r="O163" s="1">
        <v>46032</v>
      </c>
      <c r="Q163">
        <f t="shared" si="2"/>
        <v>60.94</v>
      </c>
    </row>
    <row r="164" spans="1:17">
      <c r="A164" t="s">
        <v>106</v>
      </c>
      <c r="B164" t="s">
        <v>27</v>
      </c>
      <c r="C164" t="s">
        <v>338</v>
      </c>
      <c r="D164" t="s">
        <v>339</v>
      </c>
      <c r="E164" t="s">
        <v>340</v>
      </c>
      <c r="F164" t="s">
        <v>73</v>
      </c>
      <c r="G164" t="s">
        <v>55</v>
      </c>
      <c r="H164" t="s">
        <v>21</v>
      </c>
      <c r="I164" t="s">
        <v>22</v>
      </c>
      <c r="J164">
        <v>0</v>
      </c>
      <c r="K164">
        <v>1</v>
      </c>
      <c r="L164">
        <v>47.86</v>
      </c>
      <c r="M164">
        <v>0</v>
      </c>
      <c r="N164" t="b">
        <v>0</v>
      </c>
      <c r="O164" s="1">
        <v>46032</v>
      </c>
      <c r="Q164">
        <f t="shared" si="2"/>
        <v>47.86</v>
      </c>
    </row>
    <row r="165" spans="1:17">
      <c r="A165" t="s">
        <v>106</v>
      </c>
      <c r="B165" t="s">
        <v>27</v>
      </c>
      <c r="C165" t="s">
        <v>338</v>
      </c>
      <c r="D165" t="s">
        <v>341</v>
      </c>
      <c r="E165" t="s">
        <v>342</v>
      </c>
      <c r="F165" t="s">
        <v>73</v>
      </c>
      <c r="G165" t="s">
        <v>55</v>
      </c>
      <c r="H165" t="s">
        <v>21</v>
      </c>
      <c r="I165" t="s">
        <v>22</v>
      </c>
      <c r="J165">
        <v>0</v>
      </c>
      <c r="K165">
        <v>1</v>
      </c>
      <c r="L165">
        <v>72.77</v>
      </c>
      <c r="M165">
        <v>0</v>
      </c>
      <c r="N165" t="b">
        <v>0</v>
      </c>
      <c r="O165" s="1">
        <v>46032</v>
      </c>
      <c r="Q165">
        <f t="shared" si="2"/>
        <v>72.77</v>
      </c>
    </row>
    <row r="166" spans="1:17">
      <c r="A166" t="s">
        <v>106</v>
      </c>
      <c r="B166" t="s">
        <v>27</v>
      </c>
      <c r="C166" t="s">
        <v>338</v>
      </c>
      <c r="D166" t="s">
        <v>343</v>
      </c>
      <c r="E166" t="s">
        <v>344</v>
      </c>
      <c r="F166" t="s">
        <v>73</v>
      </c>
      <c r="G166" t="s">
        <v>55</v>
      </c>
      <c r="H166" t="s">
        <v>21</v>
      </c>
      <c r="I166" t="s">
        <v>22</v>
      </c>
      <c r="J166">
        <v>0</v>
      </c>
      <c r="K166">
        <v>1</v>
      </c>
      <c r="L166">
        <v>16.04</v>
      </c>
      <c r="M166">
        <v>0</v>
      </c>
      <c r="N166" t="b">
        <v>0</v>
      </c>
      <c r="O166" s="1">
        <v>46032</v>
      </c>
      <c r="Q166">
        <f t="shared" si="2"/>
        <v>16.04</v>
      </c>
    </row>
    <row r="167" spans="1:17">
      <c r="A167" t="s">
        <v>106</v>
      </c>
      <c r="B167" t="s">
        <v>27</v>
      </c>
      <c r="C167" t="s">
        <v>338</v>
      </c>
      <c r="D167" t="s">
        <v>345</v>
      </c>
      <c r="E167" t="s">
        <v>346</v>
      </c>
      <c r="F167" t="s">
        <v>73</v>
      </c>
      <c r="G167" t="s">
        <v>55</v>
      </c>
      <c r="H167" t="s">
        <v>21</v>
      </c>
      <c r="I167" t="s">
        <v>22</v>
      </c>
      <c r="J167">
        <v>0</v>
      </c>
      <c r="K167">
        <v>1</v>
      </c>
      <c r="L167">
        <v>400.2</v>
      </c>
      <c r="M167">
        <v>0</v>
      </c>
      <c r="N167" t="b">
        <v>0</v>
      </c>
      <c r="O167" s="1">
        <v>46032</v>
      </c>
      <c r="Q167">
        <f t="shared" si="2"/>
        <v>400.2</v>
      </c>
    </row>
    <row r="168" spans="1:17">
      <c r="A168" t="s">
        <v>106</v>
      </c>
      <c r="B168" t="s">
        <v>27</v>
      </c>
      <c r="C168" t="s">
        <v>338</v>
      </c>
      <c r="D168" t="s">
        <v>347</v>
      </c>
      <c r="E168" t="s">
        <v>348</v>
      </c>
      <c r="F168" t="s">
        <v>73</v>
      </c>
      <c r="G168" t="s">
        <v>55</v>
      </c>
      <c r="H168" t="s">
        <v>21</v>
      </c>
      <c r="I168" t="s">
        <v>22</v>
      </c>
      <c r="J168">
        <v>0</v>
      </c>
      <c r="K168">
        <v>1</v>
      </c>
      <c r="L168">
        <v>12.82</v>
      </c>
      <c r="M168">
        <v>0</v>
      </c>
      <c r="N168" t="b">
        <v>0</v>
      </c>
      <c r="O168" s="1">
        <v>46032</v>
      </c>
      <c r="Q168">
        <f t="shared" si="2"/>
        <v>12.82</v>
      </c>
    </row>
    <row r="169" spans="1:17">
      <c r="A169" t="s">
        <v>106</v>
      </c>
      <c r="B169" t="s">
        <v>27</v>
      </c>
      <c r="C169" t="s">
        <v>338</v>
      </c>
      <c r="D169" t="s">
        <v>349</v>
      </c>
      <c r="E169" t="s">
        <v>350</v>
      </c>
      <c r="F169" t="s">
        <v>73</v>
      </c>
      <c r="G169" t="s">
        <v>55</v>
      </c>
      <c r="H169" t="s">
        <v>21</v>
      </c>
      <c r="I169" t="s">
        <v>22</v>
      </c>
      <c r="J169">
        <v>0</v>
      </c>
      <c r="K169">
        <v>1</v>
      </c>
      <c r="L169">
        <v>34.25</v>
      </c>
      <c r="M169">
        <v>0</v>
      </c>
      <c r="N169" t="b">
        <v>0</v>
      </c>
      <c r="O169" s="1">
        <v>46032</v>
      </c>
      <c r="Q169">
        <f t="shared" si="2"/>
        <v>34.25</v>
      </c>
    </row>
    <row r="170" spans="1:17">
      <c r="A170" t="s">
        <v>106</v>
      </c>
      <c r="B170" t="s">
        <v>27</v>
      </c>
      <c r="C170" t="s">
        <v>338</v>
      </c>
      <c r="D170" t="s">
        <v>351</v>
      </c>
      <c r="E170" t="s">
        <v>352</v>
      </c>
      <c r="F170" t="s">
        <v>73</v>
      </c>
      <c r="G170" t="s">
        <v>55</v>
      </c>
      <c r="H170" t="s">
        <v>21</v>
      </c>
      <c r="I170" t="s">
        <v>22</v>
      </c>
      <c r="J170">
        <v>0</v>
      </c>
      <c r="K170">
        <v>1</v>
      </c>
      <c r="L170">
        <v>39.56</v>
      </c>
      <c r="M170">
        <v>0</v>
      </c>
      <c r="N170" t="b">
        <v>0</v>
      </c>
      <c r="O170" s="1">
        <v>46032</v>
      </c>
      <c r="Q170">
        <f t="shared" si="2"/>
        <v>39.56</v>
      </c>
    </row>
    <row r="171" spans="1:17">
      <c r="A171" t="s">
        <v>106</v>
      </c>
      <c r="B171" t="s">
        <v>27</v>
      </c>
      <c r="C171" t="s">
        <v>338</v>
      </c>
      <c r="D171" t="s">
        <v>353</v>
      </c>
      <c r="E171" t="s">
        <v>354</v>
      </c>
      <c r="F171" t="s">
        <v>73</v>
      </c>
      <c r="G171" t="s">
        <v>55</v>
      </c>
      <c r="H171" t="s">
        <v>21</v>
      </c>
      <c r="I171" t="s">
        <v>22</v>
      </c>
      <c r="J171">
        <v>0</v>
      </c>
      <c r="K171">
        <v>1</v>
      </c>
      <c r="L171">
        <v>185.87</v>
      </c>
      <c r="M171">
        <v>0</v>
      </c>
      <c r="N171" t="b">
        <v>0</v>
      </c>
      <c r="O171" s="1">
        <v>46032</v>
      </c>
      <c r="Q171">
        <f t="shared" si="2"/>
        <v>185.87</v>
      </c>
    </row>
    <row r="172" spans="1:17">
      <c r="A172" t="s">
        <v>106</v>
      </c>
      <c r="B172" t="s">
        <v>27</v>
      </c>
      <c r="C172" t="s">
        <v>338</v>
      </c>
      <c r="D172" t="s">
        <v>355</v>
      </c>
      <c r="E172" t="s">
        <v>356</v>
      </c>
      <c r="F172" t="s">
        <v>73</v>
      </c>
      <c r="G172" t="s">
        <v>55</v>
      </c>
      <c r="H172" t="s">
        <v>21</v>
      </c>
      <c r="I172" t="s">
        <v>22</v>
      </c>
      <c r="J172">
        <v>0</v>
      </c>
      <c r="K172">
        <v>1</v>
      </c>
      <c r="L172">
        <v>33.729999999999997</v>
      </c>
      <c r="M172">
        <v>0</v>
      </c>
      <c r="N172" t="b">
        <v>0</v>
      </c>
      <c r="O172" s="1">
        <v>46032</v>
      </c>
      <c r="Q172">
        <f t="shared" si="2"/>
        <v>33.729999999999997</v>
      </c>
    </row>
    <row r="173" spans="1:17">
      <c r="A173" t="s">
        <v>106</v>
      </c>
      <c r="B173" t="s">
        <v>27</v>
      </c>
      <c r="C173" t="s">
        <v>338</v>
      </c>
      <c r="D173" t="s">
        <v>357</v>
      </c>
      <c r="E173" t="s">
        <v>358</v>
      </c>
      <c r="F173" t="s">
        <v>73</v>
      </c>
      <c r="G173" t="s">
        <v>55</v>
      </c>
      <c r="H173" t="s">
        <v>21</v>
      </c>
      <c r="I173" t="s">
        <v>22</v>
      </c>
      <c r="J173">
        <v>0</v>
      </c>
      <c r="K173">
        <v>1</v>
      </c>
      <c r="L173">
        <v>28.83</v>
      </c>
      <c r="M173">
        <v>0</v>
      </c>
      <c r="N173" t="b">
        <v>0</v>
      </c>
      <c r="O173" s="1">
        <v>46032</v>
      </c>
      <c r="Q173">
        <f t="shared" si="2"/>
        <v>28.83</v>
      </c>
    </row>
    <row r="174" spans="1:17">
      <c r="A174" t="s">
        <v>106</v>
      </c>
      <c r="B174" t="s">
        <v>27</v>
      </c>
      <c r="C174" t="s">
        <v>338</v>
      </c>
      <c r="D174" t="s">
        <v>359</v>
      </c>
      <c r="E174" t="s">
        <v>360</v>
      </c>
      <c r="F174" t="s">
        <v>73</v>
      </c>
      <c r="G174" t="s">
        <v>55</v>
      </c>
      <c r="H174" t="s">
        <v>21</v>
      </c>
      <c r="I174" t="s">
        <v>22</v>
      </c>
      <c r="J174">
        <v>0</v>
      </c>
      <c r="K174">
        <v>1</v>
      </c>
      <c r="L174">
        <v>17.079999999999998</v>
      </c>
      <c r="M174">
        <v>0</v>
      </c>
      <c r="N174" t="b">
        <v>0</v>
      </c>
      <c r="O174" s="1">
        <v>46032</v>
      </c>
      <c r="Q174">
        <f t="shared" si="2"/>
        <v>17.079999999999998</v>
      </c>
    </row>
    <row r="175" spans="1:17">
      <c r="A175" t="s">
        <v>106</v>
      </c>
      <c r="B175" t="s">
        <v>27</v>
      </c>
      <c r="C175" t="s">
        <v>95</v>
      </c>
      <c r="D175" t="s">
        <v>361</v>
      </c>
      <c r="E175" t="s">
        <v>116</v>
      </c>
      <c r="F175" t="s">
        <v>73</v>
      </c>
      <c r="G175" t="s">
        <v>55</v>
      </c>
      <c r="H175" t="s">
        <v>21</v>
      </c>
      <c r="I175" t="s">
        <v>22</v>
      </c>
      <c r="J175">
        <v>0</v>
      </c>
      <c r="K175">
        <v>1</v>
      </c>
      <c r="L175">
        <v>17.989999999999998</v>
      </c>
      <c r="M175">
        <v>0</v>
      </c>
      <c r="N175" t="b">
        <v>0</v>
      </c>
      <c r="O175" s="1">
        <v>46032</v>
      </c>
      <c r="Q175">
        <f t="shared" si="2"/>
        <v>17.989999999999998</v>
      </c>
    </row>
    <row r="176" spans="1:17">
      <c r="A176" t="s">
        <v>106</v>
      </c>
      <c r="B176" t="s">
        <v>27</v>
      </c>
      <c r="C176" t="s">
        <v>95</v>
      </c>
      <c r="D176" t="s">
        <v>362</v>
      </c>
      <c r="E176" t="s">
        <v>363</v>
      </c>
      <c r="F176" t="s">
        <v>73</v>
      </c>
      <c r="G176" t="s">
        <v>55</v>
      </c>
      <c r="H176" t="s">
        <v>21</v>
      </c>
      <c r="I176" t="s">
        <v>22</v>
      </c>
      <c r="J176">
        <v>0</v>
      </c>
      <c r="K176">
        <v>1</v>
      </c>
      <c r="L176">
        <v>62.6</v>
      </c>
      <c r="M176">
        <v>0</v>
      </c>
      <c r="N176" t="b">
        <v>0</v>
      </c>
      <c r="O176" s="1">
        <v>46032</v>
      </c>
      <c r="Q176">
        <f t="shared" si="2"/>
        <v>62.6</v>
      </c>
    </row>
    <row r="177" spans="1:17">
      <c r="A177" t="s">
        <v>106</v>
      </c>
      <c r="B177" t="s">
        <v>27</v>
      </c>
      <c r="C177" t="s">
        <v>95</v>
      </c>
      <c r="D177" t="s">
        <v>292</v>
      </c>
      <c r="E177" t="s">
        <v>110</v>
      </c>
      <c r="F177" t="s">
        <v>73</v>
      </c>
      <c r="G177" t="s">
        <v>55</v>
      </c>
      <c r="H177" t="s">
        <v>21</v>
      </c>
      <c r="I177" t="s">
        <v>22</v>
      </c>
      <c r="J177">
        <v>0</v>
      </c>
      <c r="K177">
        <v>1</v>
      </c>
      <c r="L177">
        <v>88.8</v>
      </c>
      <c r="M177">
        <v>0</v>
      </c>
      <c r="N177" t="b">
        <v>0</v>
      </c>
      <c r="O177" s="1">
        <v>46032</v>
      </c>
      <c r="Q177">
        <f t="shared" si="2"/>
        <v>88.8</v>
      </c>
    </row>
    <row r="178" spans="1:17">
      <c r="A178" t="s">
        <v>106</v>
      </c>
      <c r="B178" t="s">
        <v>27</v>
      </c>
      <c r="C178" t="s">
        <v>95</v>
      </c>
      <c r="D178" t="s">
        <v>364</v>
      </c>
      <c r="E178" t="s">
        <v>108</v>
      </c>
      <c r="F178" t="s">
        <v>73</v>
      </c>
      <c r="G178" t="s">
        <v>55</v>
      </c>
      <c r="H178" t="s">
        <v>21</v>
      </c>
      <c r="I178" t="s">
        <v>22</v>
      </c>
      <c r="J178">
        <v>0</v>
      </c>
      <c r="K178">
        <v>1</v>
      </c>
      <c r="L178">
        <v>30.77</v>
      </c>
      <c r="M178">
        <v>0</v>
      </c>
      <c r="N178" t="b">
        <v>0</v>
      </c>
      <c r="O178" s="1">
        <v>46032</v>
      </c>
      <c r="Q178">
        <f t="shared" si="2"/>
        <v>30.77</v>
      </c>
    </row>
    <row r="179" spans="1:17">
      <c r="A179" t="s">
        <v>106</v>
      </c>
      <c r="B179" t="s">
        <v>27</v>
      </c>
      <c r="C179" t="s">
        <v>95</v>
      </c>
      <c r="D179" t="s">
        <v>365</v>
      </c>
      <c r="E179" t="s">
        <v>114</v>
      </c>
      <c r="F179" t="s">
        <v>73</v>
      </c>
      <c r="G179" t="s">
        <v>55</v>
      </c>
      <c r="H179" t="s">
        <v>21</v>
      </c>
      <c r="I179" t="s">
        <v>22</v>
      </c>
      <c r="J179">
        <v>0</v>
      </c>
      <c r="K179">
        <v>1</v>
      </c>
      <c r="L179">
        <v>78.2</v>
      </c>
      <c r="M179">
        <v>0</v>
      </c>
      <c r="N179" t="b">
        <v>0</v>
      </c>
      <c r="O179" s="1">
        <v>46032</v>
      </c>
      <c r="Q179">
        <f t="shared" si="2"/>
        <v>78.2</v>
      </c>
    </row>
    <row r="180" spans="1:17">
      <c r="A180" t="s">
        <v>106</v>
      </c>
      <c r="B180" t="s">
        <v>27</v>
      </c>
      <c r="C180" t="s">
        <v>95</v>
      </c>
      <c r="D180" t="s">
        <v>366</v>
      </c>
      <c r="E180" t="s">
        <v>120</v>
      </c>
      <c r="F180" t="s">
        <v>73</v>
      </c>
      <c r="G180" t="s">
        <v>55</v>
      </c>
      <c r="H180" t="s">
        <v>21</v>
      </c>
      <c r="I180" t="s">
        <v>22</v>
      </c>
      <c r="J180">
        <v>0</v>
      </c>
      <c r="K180">
        <v>1</v>
      </c>
      <c r="L180">
        <v>214.44</v>
      </c>
      <c r="M180">
        <v>0</v>
      </c>
      <c r="N180" t="b">
        <v>0</v>
      </c>
      <c r="O180" s="1">
        <v>46032</v>
      </c>
      <c r="Q180">
        <f t="shared" si="2"/>
        <v>214.44</v>
      </c>
    </row>
    <row r="181" spans="1:17">
      <c r="A181" t="s">
        <v>106</v>
      </c>
      <c r="B181" t="s">
        <v>27</v>
      </c>
      <c r="C181" t="s">
        <v>95</v>
      </c>
      <c r="D181" t="s">
        <v>367</v>
      </c>
      <c r="E181" t="s">
        <v>112</v>
      </c>
      <c r="F181" t="s">
        <v>73</v>
      </c>
      <c r="G181" t="s">
        <v>55</v>
      </c>
      <c r="H181" t="s">
        <v>21</v>
      </c>
      <c r="I181" t="s">
        <v>22</v>
      </c>
      <c r="J181">
        <v>0</v>
      </c>
      <c r="K181">
        <v>1</v>
      </c>
      <c r="L181">
        <v>30.11</v>
      </c>
      <c r="M181">
        <v>0</v>
      </c>
      <c r="N181" t="b">
        <v>0</v>
      </c>
      <c r="O181" s="1">
        <v>46032</v>
      </c>
      <c r="Q181">
        <f t="shared" si="2"/>
        <v>30.11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Dominic Waters</cp:lastModifiedBy>
  <cp:revision/>
  <dcterms:created xsi:type="dcterms:W3CDTF">2026-06-24T19:51:42Z</dcterms:created>
  <dcterms:modified xsi:type="dcterms:W3CDTF">2026-06-24T20:48:48Z</dcterms:modified>
  <cp:category/>
  <cp:contentStatus/>
</cp:coreProperties>
</file>